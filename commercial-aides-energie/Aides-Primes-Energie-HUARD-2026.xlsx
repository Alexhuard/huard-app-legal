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01 - Tableau complet" sheetId="2" state="visible" r:id="rId2"/>
    <sheet xmlns:r="http://schemas.openxmlformats.org/officeDocument/2006/relationships" name="02 - Par activite HUARD" sheetId="3" state="visible" r:id="rId3"/>
    <sheet xmlns:r="http://schemas.openxmlformats.org/officeDocument/2006/relationships" name="03 - Eligibilite clients" sheetId="4" state="visible" r:id="rId4"/>
    <sheet xmlns:r="http://schemas.openxmlformats.org/officeDocument/2006/relationships" name="04 - Argumentaire" sheetId="5" state="visible" r:id="rId5"/>
    <sheet xmlns:r="http://schemas.openxmlformats.org/officeDocument/2006/relationships" name="05 - CEE fiches cles" sheetId="6" state="visible" r:id="rId6"/>
    <sheet xmlns:r="http://schemas.openxmlformats.org/officeDocument/2006/relationships" name="06 - Decret tertiaire" sheetId="7" state="visible" r:id="rId7"/>
    <sheet xmlns:r="http://schemas.openxmlformats.org/officeDocument/2006/relationships" name="07 - Aides IDF" sheetId="8" state="visible" r:id="rId8"/>
    <sheet xmlns:r="http://schemas.openxmlformats.org/officeDocument/2006/relationships" name="08 - Sources &amp; liens" sheetId="9" state="visible" r:id="rId9"/>
    <sheet xmlns:r="http://schemas.openxmlformats.org/officeDocument/2006/relationships" name="09 - Plan administratif" sheetId="10" state="visible" r:id="rId10"/>
    <sheet xmlns:r="http://schemas.openxmlformats.org/officeDocument/2006/relationships" name="10 - Matrice projet x aides" sheetId="11" state="visible" r:id="rId11"/>
    <sheet xmlns:r="http://schemas.openxmlformats.org/officeDocument/2006/relationships" name="11 - Bases de calcul" sheetId="12" state="visible" r:id="rId12"/>
    <sheet xmlns:r="http://schemas.openxmlformats.org/officeDocument/2006/relationships" name="12 - Simulateurs" sheetId="13" state="visible" r:id="rId13"/>
  </sheets>
  <definedNames>
    <definedName name="_xlnm._FilterDatabase" localSheetId="1" hidden="1">'01 - Tableau complet'!$A$3:$T$45</definedName>
    <definedName name="_xlnm._FilterDatabase" localSheetId="10" hidden="1">'10 - Matrice projet x aides'!$A$4:$J$20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EUR"/>
    <numFmt numFmtId="165" formatCode="0.0%"/>
    <numFmt numFmtId="166" formatCode="0.0 &quot; ans&quot;"/>
    <numFmt numFmtId="167" formatCode="#,##0 &quot; kWh&quot;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i val="1"/>
      <color rgb="005A6478"/>
      <sz val="11"/>
    </font>
    <font>
      <b val="1"/>
      <color rgb="001F2F4D"/>
    </font>
    <font>
      <name val="Calibri"/>
      <b val="1"/>
      <color rgb="00FFFFFF"/>
      <sz val="14"/>
    </font>
    <font>
      <b val="1"/>
      <color rgb="00FFFFFF"/>
      <sz val="11"/>
    </font>
    <font>
      <b val="1"/>
      <color rgb="00FFFFFF"/>
    </font>
    <font>
      <i val="1"/>
      <color rgb="005A6478"/>
      <sz val="10"/>
    </font>
    <font>
      <name val="Calibri"/>
      <b val="1"/>
      <color rgb="00FFFFFF"/>
      <sz val="16"/>
    </font>
    <font>
      <name val="Calibri"/>
      <sz val="10"/>
    </font>
    <font>
      <b val="1"/>
      <color rgb="00FFFFFF"/>
      <sz val="10"/>
    </font>
    <font>
      <color rgb="005D81A6"/>
      <sz val="9"/>
      <u val="single"/>
    </font>
    <font>
      <b val="1"/>
      <color rgb="001F2F4D"/>
      <sz val="10"/>
    </font>
    <font>
      <b val="1"/>
      <color rgb="00FFFFFF"/>
      <sz val="14"/>
    </font>
    <font>
      <sz val="10"/>
    </font>
    <font>
      <i val="1"/>
      <color rgb="005A6478"/>
    </font>
    <font>
      <i val="1"/>
      <sz val="10"/>
    </font>
    <font>
      <b val="1"/>
      <color rgb="001F2F4D"/>
      <sz val="11"/>
    </font>
    <font>
      <color rgb="005D81A6"/>
      <sz val="10"/>
      <u val="single"/>
    </font>
    <font>
      <b val="1"/>
      <color rgb="008B4500"/>
      <sz val="10"/>
    </font>
    <font>
      <b val="1"/>
      <sz val="10"/>
    </font>
    <font>
      <b val="1"/>
      <color rgb="005A6478"/>
      <sz val="10"/>
    </font>
    <font>
      <color rgb="005A6478"/>
      <sz val="10"/>
    </font>
    <font>
      <b val="1"/>
      <color rgb="002A9D8F"/>
      <sz val="10"/>
    </font>
    <font>
      <b val="1"/>
      <color rgb="00B85C00"/>
      <sz val="10"/>
    </font>
    <font>
      <i val="1"/>
      <color rgb="001F2F4D"/>
      <sz val="10"/>
    </font>
    <font>
      <b val="1"/>
      <color rgb="00FFFFFF"/>
      <sz val="13"/>
    </font>
    <font>
      <color rgb="001F2F4D"/>
      <sz val="11"/>
    </font>
    <font>
      <b val="1"/>
      <color rgb="002A9D8F"/>
      <sz val="11"/>
    </font>
  </fonts>
  <fills count="22">
    <fill>
      <patternFill/>
    </fill>
    <fill>
      <patternFill patternType="gray125"/>
    </fill>
    <fill>
      <patternFill patternType="solid">
        <fgColor rgb="001F2F4D"/>
      </patternFill>
    </fill>
    <fill>
      <patternFill patternType="solid">
        <fgColor rgb="005D81A6"/>
      </patternFill>
    </fill>
    <fill>
      <patternFill patternType="solid">
        <fgColor rgb="00E76F51"/>
      </patternFill>
    </fill>
    <fill>
      <patternFill patternType="solid">
        <fgColor rgb="00DCE7F3"/>
      </patternFill>
    </fill>
    <fill>
      <patternFill patternType="solid">
        <fgColor rgb="0082C341"/>
      </patternFill>
    </fill>
    <fill>
      <patternFill patternType="solid">
        <fgColor rgb="00E8EEF5"/>
      </patternFill>
    </fill>
    <fill>
      <patternFill patternType="solid">
        <fgColor rgb="002A9D8F"/>
      </patternFill>
    </fill>
    <fill>
      <patternFill patternType="solid">
        <fgColor rgb="00F4A261"/>
      </patternFill>
    </fill>
    <fill>
      <patternFill patternType="solid">
        <fgColor rgb="00C7D9EC"/>
      </patternFill>
    </fill>
    <fill>
      <patternFill patternType="solid">
        <fgColor rgb="00FFE9C4"/>
      </patternFill>
    </fill>
    <fill>
      <patternFill patternType="solid">
        <fgColor rgb="00FFF4B8"/>
      </patternFill>
    </fill>
    <fill>
      <patternFill patternType="solid">
        <fgColor rgb="00D9F0E3"/>
      </patternFill>
    </fill>
    <fill>
      <patternFill patternType="solid">
        <fgColor rgb="00EAD9F0"/>
      </patternFill>
    </fill>
    <fill>
      <patternFill patternType="solid">
        <fgColor rgb="00F9D5C2"/>
      </patternFill>
    </fill>
    <fill>
      <patternFill patternType="solid">
        <fgColor rgb="00F3C7C2"/>
      </patternFill>
    </fill>
    <fill>
      <patternFill patternType="solid">
        <fgColor rgb="00E0F0F0"/>
      </patternFill>
    </fill>
    <fill>
      <patternFill patternType="solid">
        <fgColor rgb="00F0E6CF"/>
      </patternFill>
    </fill>
    <fill>
      <patternFill patternType="solid">
        <fgColor rgb="00EFEFEF"/>
      </patternFill>
    </fill>
    <fill>
      <patternFill patternType="solid">
        <fgColor rgb="00BFC9D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  <border>
      <left/>
      <right/>
      <top style="thin">
        <color rgb="00BFC9D9"/>
      </top>
      <bottom/>
      <diagonal/>
    </border>
    <border>
      <left/>
      <right style="thin">
        <color rgb="00BFC9D9"/>
      </right>
      <top style="thin">
        <color rgb="00BFC9D9"/>
      </top>
      <bottom/>
      <diagonal/>
    </border>
    <border>
      <left/>
      <right/>
      <top style="thin">
        <color rgb="00BFC9D9"/>
      </top>
      <bottom style="thin">
        <color rgb="00BFC9D9"/>
      </bottom>
      <diagonal/>
    </border>
    <border>
      <left/>
      <right style="thin">
        <color rgb="00BFC9D9"/>
      </right>
      <top style="thin">
        <color rgb="00BFC9D9"/>
      </top>
      <bottom style="thin">
        <color rgb="00BFC9D9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9" fillId="15" borderId="1" applyAlignment="1" pivotButton="0" quotePrefix="0" xfId="0">
      <alignment vertical="top" wrapText="1"/>
    </xf>
    <xf numFmtId="0" fontId="9" fillId="16" borderId="1" applyAlignment="1" pivotButton="0" quotePrefix="0" xfId="0">
      <alignment vertical="top" wrapText="1"/>
    </xf>
    <xf numFmtId="0" fontId="9" fillId="17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9" fillId="19" borderId="1" applyAlignment="1" pivotButton="0" quotePrefix="0" xfId="0">
      <alignment vertical="top" wrapText="1"/>
    </xf>
    <xf numFmtId="0" fontId="12" fillId="20" borderId="1" applyAlignment="1" pivotButton="0" quotePrefix="0" xfId="0">
      <alignment horizontal="center" vertical="center"/>
    </xf>
    <xf numFmtId="0" fontId="13" fillId="2" borderId="0" applyAlignment="1" pivotButton="0" quotePrefix="0" xfId="0">
      <alignment vertical="center" inden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4" fillId="7" borderId="1" applyAlignment="1" pivotButton="0" quotePrefix="0" xfId="0">
      <alignment vertical="center" wrapText="1"/>
    </xf>
    <xf numFmtId="0" fontId="18" fillId="7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2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1" fillId="21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0" fillId="8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7" borderId="4" pivotButton="0" quotePrefix="0" xfId="0"/>
    <xf numFmtId="0" fontId="0" fillId="7" borderId="5" pivotButton="0" quotePrefix="0" xfId="0"/>
    <xf numFmtId="0" fontId="5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vertical="top" wrapText="1"/>
    </xf>
    <xf numFmtId="0" fontId="12" fillId="13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vertical="top" wrapText="1"/>
    </xf>
    <xf numFmtId="0" fontId="12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25" fillId="12" borderId="1" applyAlignment="1" pivotButton="0" quotePrefix="0" xfId="0">
      <alignment vertical="top" wrapText="1"/>
    </xf>
    <xf numFmtId="0" fontId="26" fillId="2" borderId="0" pivotButton="0" quotePrefix="0" xfId="0"/>
    <xf numFmtId="0" fontId="17" fillId="0" borderId="1" applyAlignment="1" pivotButton="0" quotePrefix="0" xfId="0">
      <alignment vertical="center"/>
    </xf>
    <xf numFmtId="0" fontId="17" fillId="12" borderId="1" applyAlignment="1" pivotButton="0" quotePrefix="0" xfId="0">
      <alignment horizontal="right" vertical="center"/>
    </xf>
    <xf numFmtId="0" fontId="27" fillId="0" borderId="1" applyAlignment="1" pivotButton="0" quotePrefix="0" xfId="0">
      <alignment vertical="center"/>
    </xf>
    <xf numFmtId="164" fontId="28" fillId="13" borderId="1" applyAlignment="1" pivotButton="0" quotePrefix="0" xfId="0">
      <alignment horizontal="right" vertical="center"/>
    </xf>
    <xf numFmtId="165" fontId="28" fillId="13" borderId="1" applyAlignment="1" pivotButton="0" quotePrefix="0" xfId="0">
      <alignment horizontal="right" vertical="center"/>
    </xf>
    <xf numFmtId="166" fontId="28" fillId="13" borderId="1" applyAlignment="1" pivotButton="0" quotePrefix="0" xfId="0">
      <alignment horizontal="right" vertical="center"/>
    </xf>
    <xf numFmtId="167" fontId="28" fillId="13" borderId="1" applyAlignment="1" pivotButton="0" quotePrefix="0" xfId="0">
      <alignment horizontal="right" vertical="center"/>
    </xf>
    <xf numFmtId="0" fontId="17" fillId="0" borderId="0" pivotButton="0" quotePrefix="0" xfId="0"/>
    <xf numFmtId="0" fontId="12" fillId="12" borderId="1" pivotButton="0" quotePrefix="0" xfId="0"/>
    <xf numFmtId="0" fontId="23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cologie.gouv.fr/operations-standardisees-deconomies-denergie" TargetMode="External" Id="rId1"/><Relationship Type="http://schemas.openxmlformats.org/officeDocument/2006/relationships/hyperlink" Target="https://www.ecologie.gouv.fr/operations-standardisees-deconomies-denergie" TargetMode="External" Id="rId2"/><Relationship Type="http://schemas.openxmlformats.org/officeDocument/2006/relationships/hyperlink" Target="https://www.ecologie.gouv.fr/decret-bacs" TargetMode="External" Id="rId3"/><Relationship Type="http://schemas.openxmlformats.org/officeDocument/2006/relationships/hyperlink" Target="https://www.ecologie.gouv.fr/operations-standardisees-deconomies-denergie" TargetMode="External" Id="rId4"/><Relationship Type="http://schemas.openxmlformats.org/officeDocument/2006/relationships/hyperlink" Target="https://www.ecologie.gouv.fr/operations-standardisees-deconomies-denergie" TargetMode="External" Id="rId5"/><Relationship Type="http://schemas.openxmlformats.org/officeDocument/2006/relationships/hyperlink" Target="https://www.ecologie.gouv.fr/operations-standardisees-deconomies-denergie" TargetMode="External" Id="rId6"/><Relationship Type="http://schemas.openxmlformats.org/officeDocument/2006/relationships/hyperlink" Target="https://www.ecologie.gouv.fr/operations-standardisees-deconomies-denergie" TargetMode="External" Id="rId7"/><Relationship Type="http://schemas.openxmlformats.org/officeDocument/2006/relationships/hyperlink" Target="https://www.ecologie.gouv.fr/operations-standardisees-deconomies-denergie" TargetMode="External" Id="rId8"/><Relationship Type="http://schemas.openxmlformats.org/officeDocument/2006/relationships/hyperlink" Target="https://www.ecologie.gouv.fr/operations-standardisees-deconomies-denergie" TargetMode="External" Id="rId9"/><Relationship Type="http://schemas.openxmlformats.org/officeDocument/2006/relationships/hyperlink" Target="https://www.ecologie.gouv.fr/operations-standardisees-deconomies-denergie" TargetMode="External" Id="rId10"/><Relationship Type="http://schemas.openxmlformats.org/officeDocument/2006/relationships/hyperlink" Target="https://www.ecologie.gouv.fr/coup-pouce-economies-denergie" TargetMode="External" Id="rId11"/><Relationship Type="http://schemas.openxmlformats.org/officeDocument/2006/relationships/hyperlink" Target="https://www.ecologie.gouv.fr/coup-pouce-economies-denergie" TargetMode="External" Id="rId12"/><Relationship Type="http://schemas.openxmlformats.org/officeDocument/2006/relationships/hyperlink" Target="https://www.ecologie.gouv.fr/coup-pouce-economies-denergie" TargetMode="External" Id="rId13"/><Relationship Type="http://schemas.openxmlformats.org/officeDocument/2006/relationships/hyperlink" Target="https://www.photovoltaique.info/fr/preparer-un-projet/aspects-economiques/tarifs-dachat-et-autoconsommation/" TargetMode="External" Id="rId14"/><Relationship Type="http://schemas.openxmlformats.org/officeDocument/2006/relationships/hyperlink" Target="https://www.edf-oa.fr" TargetMode="External" Id="rId15"/><Relationship Type="http://schemas.openxmlformats.org/officeDocument/2006/relationships/hyperlink" Target="https://www.legifrance.gouv.fr/jorf/id/JORFTEXT000047283081" TargetMode="External" Id="rId16"/><Relationship Type="http://schemas.openxmlformats.org/officeDocument/2006/relationships/hyperlink" Target="https://www.programme-oscar.fr" TargetMode="External" Id="rId17"/><Relationship Type="http://schemas.openxmlformats.org/officeDocument/2006/relationships/hyperlink" Target="https://www.cre.fr/Pages-annexes/Recherche-Pages-annexes?query=appel+offres+PV" TargetMode="External" Id="rId18"/><Relationship Type="http://schemas.openxmlformats.org/officeDocument/2006/relationships/hyperlink" Target="https://fondschaleur.ademe.fr" TargetMode="External" Id="rId19"/><Relationship Type="http://schemas.openxmlformats.org/officeDocument/2006/relationships/hyperlink" Target="https://www.programme-actee.fr" TargetMode="External" Id="rId20"/><Relationship Type="http://schemas.openxmlformats.org/officeDocument/2006/relationships/hyperlink" Target="https://www.bpifrance.fr/catalogue-offres/transition-ecologique-et-energetique/diag-decarbonaction" TargetMode="External" Id="rId21"/><Relationship Type="http://schemas.openxmlformats.org/officeDocument/2006/relationships/hyperlink" Target="https://www.bpifrance.fr/catalogue-offres/transition-ecologique-et-energetique/diag-eco-flux" TargetMode="External" Id="rId22"/><Relationship Type="http://schemas.openxmlformats.org/officeDocument/2006/relationships/hyperlink" Target="https://agirpourlatransition.ademe.fr/entreprises/dispositif-aide/tremplin-transition-ecologique-pme" TargetMode="External" Id="rId23"/><Relationship Type="http://schemas.openxmlformats.org/officeDocument/2006/relationships/hyperlink" Target="https://entreprises.ademe.fr/dispositif-aide/decarbonation-industrie" TargetMode="External" Id="rId24"/><Relationship Type="http://schemas.openxmlformats.org/officeDocument/2006/relationships/hyperlink" Target="https://www.bpifrance.fr/catalogue-offres/transition-ecologique-et-energetique/pret-vert" TargetMode="External" Id="rId25"/><Relationship Type="http://schemas.openxmlformats.org/officeDocument/2006/relationships/hyperlink" Target="https://www.bpifrance.fr/catalogue-offres/transition-ecologique-et-energetique/pret-economies-denergie" TargetMode="External" Id="rId26"/><Relationship Type="http://schemas.openxmlformats.org/officeDocument/2006/relationships/hyperlink" Target="https://advenir.mobi" TargetMode="External" Id="rId27"/><Relationship Type="http://schemas.openxmlformats.org/officeDocument/2006/relationships/hyperlink" Target="https://www.legifrance.gouv.fr" TargetMode="External" Id="rId28"/><Relationship Type="http://schemas.openxmlformats.org/officeDocument/2006/relationships/hyperlink" Target="https://operat.ademe.fr" TargetMode="External" Id="rId29"/><Relationship Type="http://schemas.openxmlformats.org/officeDocument/2006/relationships/hyperlink" Target="https://www.ecologie.gouv.fr/decret-bacs" TargetMode="External" Id="rId30"/><Relationship Type="http://schemas.openxmlformats.org/officeDocument/2006/relationships/hyperlink" Target="https://www.iledefrance.fr/aides-services/transition-energetique" TargetMode="External" Id="rId31"/><Relationship Type="http://schemas.openxmlformats.org/officeDocument/2006/relationships/hyperlink" Target="https://www.energiespositif.fr" TargetMode="External" Id="rId32"/><Relationship Type="http://schemas.openxmlformats.org/officeDocument/2006/relationships/hyperlink" Target="https://www.iledefrance.fr" TargetMode="External" Id="rId33"/><Relationship Type="http://schemas.openxmlformats.org/officeDocument/2006/relationships/hyperlink" Target="https://www.metropolegrandparis.fr" TargetMode="External" Id="rId34"/><Relationship Type="http://schemas.openxmlformats.org/officeDocument/2006/relationships/hyperlink" Target="https://france-renov.gouv.fr/aides/mpr" TargetMode="External" Id="rId35"/><Relationship Type="http://schemas.openxmlformats.org/officeDocument/2006/relationships/hyperlink" Target="https://france-renov.gouv.fr" TargetMode="External" Id="rId36"/><Relationship Type="http://schemas.openxmlformats.org/officeDocument/2006/relationships/hyperlink" Target="https://france-renov.gouv.fr/aides/eco-ptz" TargetMode="External" Id="rId37"/><Relationship Type="http://schemas.openxmlformats.org/officeDocument/2006/relationships/hyperlink" Target="https://www.economie.gouv.fr/particuliers/taux-tva-renovation-logement" TargetMode="External" Id="rId38"/><Relationship Type="http://schemas.openxmlformats.org/officeDocument/2006/relationships/hyperlink" Target="https://www.economie.gouv.fr/particuliers/taux-tva-renovation-logement" TargetMode="External" Id="rId39"/><Relationship Type="http://schemas.openxmlformats.org/officeDocument/2006/relationships/hyperlink" Target="https://www.pro-smen.org" TargetMode="External" Id="rId40"/><Relationship Type="http://schemas.openxmlformats.org/officeDocument/2006/relationships/hyperlink" Target="https://programmeprofeel.fr" TargetMode="External" Id="rId41"/><Relationship Type="http://schemas.openxmlformats.org/officeDocument/2006/relationships/hyperlink" Target="https://www.fnccr.asso.fr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ledefrance.fr" TargetMode="External" Id="rId1"/><Relationship Type="http://schemas.openxmlformats.org/officeDocument/2006/relationships/hyperlink" Target="https://www.energiespositif.fr" TargetMode="External" Id="rId2"/><Relationship Type="http://schemas.openxmlformats.org/officeDocument/2006/relationships/hyperlink" Target="https://www.metropolegrandparis.fr" TargetMode="External" Id="rId3"/><Relationship Type="http://schemas.openxmlformats.org/officeDocument/2006/relationships/hyperlink" Target="https://www.iledefrance.fr" TargetMode="External" Id="rId4"/><Relationship Type="http://schemas.openxmlformats.org/officeDocument/2006/relationships/hyperlink" Target="https://ile-de-france.ademe.fr" TargetMode="External" Id="rId5"/><Relationship Type="http://schemas.openxmlformats.org/officeDocument/2006/relationships/hyperlink" Target="https://www.institutparisregion.fr" TargetMode="External" Id="rId6"/><Relationship Type="http://schemas.openxmlformats.org/officeDocument/2006/relationships/hyperlink" Target="https://www.iledefrance.fr" TargetMode="External" Id="rId7"/><Relationship Type="http://schemas.openxmlformats.org/officeDocument/2006/relationships/hyperlink" Target="https://www.airparif.asso.fr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ecologie.gouv.fr/operations-standardisees-deconomies-denergie" TargetMode="External" Id="rId1"/><Relationship Type="http://schemas.openxmlformats.org/officeDocument/2006/relationships/hyperlink" Target="https://www.ecologie.gouv.fr/coup-pouce-economies-denergie" TargetMode="External" Id="rId2"/><Relationship Type="http://schemas.openxmlformats.org/officeDocument/2006/relationships/hyperlink" Target="https://operat.ademe.fr" TargetMode="External" Id="rId3"/><Relationship Type="http://schemas.openxmlformats.org/officeDocument/2006/relationships/hyperlink" Target="https://www.ecologie.gouv.fr/decret-bacs" TargetMode="External" Id="rId4"/><Relationship Type="http://schemas.openxmlformats.org/officeDocument/2006/relationships/hyperlink" Target="https://www.legifrance.gouv.fr/jorf/id/JORFTEXT000047283081" TargetMode="External" Id="rId5"/><Relationship Type="http://schemas.openxmlformats.org/officeDocument/2006/relationships/hyperlink" Target="https://www.photovoltaique.info/fr/preparer-un-projet/aspects-economiques/tarifs-dachat-et-autoconsommation/" TargetMode="External" Id="rId6"/><Relationship Type="http://schemas.openxmlformats.org/officeDocument/2006/relationships/hyperlink" Target="https://www.edf-oa.fr" TargetMode="External" Id="rId7"/><Relationship Type="http://schemas.openxmlformats.org/officeDocument/2006/relationships/hyperlink" Target="https://fondschaleur.ademe.fr" TargetMode="External" Id="rId8"/><Relationship Type="http://schemas.openxmlformats.org/officeDocument/2006/relationships/hyperlink" Target="https://agirpourlatransition.ademe.fr" TargetMode="External" Id="rId9"/><Relationship Type="http://schemas.openxmlformats.org/officeDocument/2006/relationships/hyperlink" Target="https://www.bpifrance.fr/catalogue-offres/transition-ecologique-et-energetique" TargetMode="External" Id="rId10"/><Relationship Type="http://schemas.openxmlformats.org/officeDocument/2006/relationships/hyperlink" Target="https://advenir.mobi" TargetMode="External" Id="rId11"/><Relationship Type="http://schemas.openxmlformats.org/officeDocument/2006/relationships/hyperlink" Target="https://www.programme-actee.fr" TargetMode="External" Id="rId12"/><Relationship Type="http://schemas.openxmlformats.org/officeDocument/2006/relationships/hyperlink" Target="https://www.programme-oscar.fr" TargetMode="External" Id="rId13"/><Relationship Type="http://schemas.openxmlformats.org/officeDocument/2006/relationships/hyperlink" Target="https://www.pro-smen.org" TargetMode="External" Id="rId14"/><Relationship Type="http://schemas.openxmlformats.org/officeDocument/2006/relationships/hyperlink" Target="https://france-renov.gouv.fr" TargetMode="External" Id="rId15"/><Relationship Type="http://schemas.openxmlformats.org/officeDocument/2006/relationships/hyperlink" Target="https://www.iledefrance.fr/aides-services/transition-energetique" TargetMode="External" Id="rId16"/><Relationship Type="http://schemas.openxmlformats.org/officeDocument/2006/relationships/hyperlink" Target="https://www.energiespositif.fr" TargetMode="External" Id="rId17"/><Relationship Type="http://schemas.openxmlformats.org/officeDocument/2006/relationships/hyperlink" Target="https://www.metropolegrandparis.fr" TargetMode="External" Id="rId18"/><Relationship Type="http://schemas.openxmlformats.org/officeDocument/2006/relationships/hyperlink" Target="https://ile-de-france.ademe.fr" TargetMode="External" Id="rId19"/><Relationship Type="http://schemas.openxmlformats.org/officeDocument/2006/relationships/hyperlink" Target="https://www.institutparisregion.fr" TargetMode="External" Id="rId20"/><Relationship Type="http://schemas.openxmlformats.org/officeDocument/2006/relationships/hyperlink" Target="https://www.photovoltaique.info" TargetMode="External" Id="rId21"/><Relationship Type="http://schemas.openxmlformats.org/officeDocument/2006/relationships/hyperlink" Target="https://qualiteconstruction.com" TargetMode="External" Id="rId22"/><Relationship Type="http://schemas.openxmlformats.org/officeDocument/2006/relationships/hyperlink" Target="https://www.qualibat.com" TargetMode="External" Id="rId23"/><Relationship Type="http://schemas.openxmlformats.org/officeDocument/2006/relationships/hyperlink" Target="https://www.qualifelec.fr" TargetMode="External" Id="rId24"/><Relationship Type="http://schemas.openxmlformats.org/officeDocument/2006/relationships/hyperlink" Target="https://www.qualit-enr.org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1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38" customWidth="1" min="3" max="3"/>
    <col width="90" customWidth="1" min="4" max="4"/>
  </cols>
  <sheetData>
    <row r="2" ht="38" customHeight="1">
      <c r="B2" s="1" t="inlineStr">
        <is>
          <t>GROUPE HUARD - AIDES &amp; PRIMES ENERGIE 2026</t>
        </is>
      </c>
    </row>
    <row r="3">
      <c r="B3" s="2" t="inlineStr">
        <is>
          <t>Outil commercial interne - Recensement des dispositifs mobilisables pour nos clients</t>
        </is>
      </c>
    </row>
    <row r="5">
      <c r="B5" s="3" t="inlineStr">
        <is>
          <t>Date de mise a jour</t>
        </is>
      </c>
      <c r="C5" t="inlineStr">
        <is>
          <t>16 mai 2026</t>
        </is>
      </c>
    </row>
    <row r="6">
      <c r="B6" s="3" t="inlineStr">
        <is>
          <t>Perimetre</t>
        </is>
      </c>
      <c r="C6" t="inlineStr">
        <is>
          <t>France entiere + focus Ile-de-France (siege Bievres 91)</t>
        </is>
      </c>
    </row>
    <row r="7">
      <c r="B7" s="3" t="inlineStr">
        <is>
          <t>Activites HUARD couvertes</t>
        </is>
      </c>
      <c r="C7" t="inlineStr">
        <is>
          <t>Electricite (courants forts/faibles) - CVC - Telecoms - Informatique - Maintenance multi-technique</t>
        </is>
      </c>
    </row>
    <row r="8">
      <c r="B8" s="3" t="inlineStr">
        <is>
          <t>Cibles clients</t>
        </is>
      </c>
      <c r="C8" t="inlineStr">
        <is>
          <t>Tertiaire prive, industrie, copropriete, collectivites, bailleurs sociaux, logement individuel et collectif</t>
        </is>
      </c>
    </row>
    <row r="9">
      <c r="B9" s="3" t="inlineStr">
        <is>
          <t>Auteur</t>
        </is>
      </c>
      <c r="C9" t="inlineStr">
        <is>
          <t>Direction commerciale - Groupe HUARD</t>
        </is>
      </c>
    </row>
    <row r="11">
      <c r="B11" s="4" t="inlineStr">
        <is>
          <t>SOMMAIRE</t>
        </is>
      </c>
    </row>
    <row r="12">
      <c r="A12" s="5" t="inlineStr">
        <is>
          <t>#</t>
        </is>
      </c>
      <c r="B12" s="5" t="inlineStr">
        <is>
          <t>Onglet</t>
        </is>
      </c>
      <c r="C12" s="5" t="inlineStr">
        <is>
          <t>Contenu</t>
        </is>
      </c>
    </row>
    <row r="13" ht="28" customHeight="1">
      <c r="B13" s="6" t="inlineStr">
        <is>
          <t>01</t>
        </is>
      </c>
      <c r="C13" s="7" t="inlineStr">
        <is>
          <t>Tableau complet - toutes les aides</t>
        </is>
      </c>
      <c r="D13" s="8" t="inlineStr">
        <is>
          <t>Base de donnees principale (37 dispositifs) avec criteres, montants, levier commercial</t>
        </is>
      </c>
    </row>
    <row r="14" ht="28" customHeight="1">
      <c r="B14" s="6" t="inlineStr">
        <is>
          <t>02</t>
        </is>
      </c>
      <c r="C14" s="7" t="inlineStr">
        <is>
          <t>Vue par activite HUARD</t>
        </is>
      </c>
      <c r="D14" s="8" t="inlineStr">
        <is>
          <t>Filtrage des dispositifs par metier : ELEC / CVC / TELECOM-INFO / MAINTENANCE</t>
        </is>
      </c>
    </row>
    <row r="15" ht="28" customHeight="1">
      <c r="B15" s="6" t="inlineStr">
        <is>
          <t>03</t>
        </is>
      </c>
      <c r="C15" s="7" t="inlineStr">
        <is>
          <t>Eligibilite clients</t>
        </is>
      </c>
      <c r="D15" s="8" t="inlineStr">
        <is>
          <t>Grille de qualification rapide pour le commercial : qui peut beneficier de quoi</t>
        </is>
      </c>
    </row>
    <row r="16" ht="28" customHeight="1">
      <c r="B16" s="6" t="inlineStr">
        <is>
          <t>04</t>
        </is>
      </c>
      <c r="C16" s="7" t="inlineStr">
        <is>
          <t>Argumentaire commercial</t>
        </is>
      </c>
      <c r="D16" s="8" t="inlineStr">
        <is>
          <t>Pitch type, objections, cumul des aides, exemples chiffres</t>
        </is>
      </c>
    </row>
    <row r="17" ht="28" customHeight="1">
      <c r="B17" s="6" t="inlineStr">
        <is>
          <t>05</t>
        </is>
      </c>
      <c r="C17" s="7" t="inlineStr">
        <is>
          <t>CEE - Fiches d'operation cles</t>
        </is>
      </c>
      <c r="D17" s="8" t="inlineStr">
        <is>
          <t>Detail des fiches CEE BAT, IND et BAR les plus rentables pour nos chantiers</t>
        </is>
      </c>
    </row>
    <row r="18" ht="28" customHeight="1">
      <c r="B18" s="6" t="inlineStr">
        <is>
          <t>06</t>
        </is>
      </c>
      <c r="C18" s="7" t="inlineStr">
        <is>
          <t>Decret tertiaire (DEET)</t>
        </is>
      </c>
      <c r="D18" s="8" t="inlineStr">
        <is>
          <t>Obligations reglementaires - opportunite commerciale n 1 du tertiaire</t>
        </is>
      </c>
    </row>
    <row r="19" ht="28" customHeight="1">
      <c r="B19" s="6" t="inlineStr">
        <is>
          <t>07</t>
        </is>
      </c>
      <c r="C19" s="7" t="inlineStr">
        <is>
          <t>Aides Ile-de-France</t>
        </is>
      </c>
      <c r="D19" s="8" t="inlineStr">
        <is>
          <t>Specifique Region IDF, MGP, ADEME IDF, Energies POSIT'IF</t>
        </is>
      </c>
    </row>
    <row r="20" ht="28" customHeight="1">
      <c r="B20" s="6" t="inlineStr">
        <is>
          <t>08</t>
        </is>
      </c>
      <c r="C20" s="7" t="inlineStr">
        <is>
          <t>Sources &amp; liens officiels</t>
        </is>
      </c>
      <c r="D20" s="8" t="inlineStr">
        <is>
          <t>URL des dispositifs, contacts utiles, references reglementaires</t>
        </is>
      </c>
    </row>
    <row r="21" ht="28" customHeight="1">
      <c r="B21" s="6" t="inlineStr">
        <is>
          <t>09</t>
        </is>
      </c>
      <c r="C21" s="7" t="inlineStr">
        <is>
          <t>Plan administratif aide client</t>
        </is>
      </c>
      <c r="D21" s="8" t="inlineStr">
        <is>
          <t>Pipeline 6 phases + RACI interne + outils/SI a mettre en place</t>
        </is>
      </c>
    </row>
    <row r="22" ht="28" customHeight="1">
      <c r="B22" s="6" t="inlineStr">
        <is>
          <t>10</t>
        </is>
      </c>
      <c r="C22" s="7" t="inlineStr">
        <is>
          <t>Matrice projet x aides</t>
        </is>
      </c>
      <c r="D22" s="8" t="inlineStr">
        <is>
          <t>16 types de projets HUARD avec aides cumulables, couverture moyenne, reste a charge</t>
        </is>
      </c>
    </row>
    <row r="23" ht="28" customHeight="1">
      <c r="B23" s="9" t="inlineStr">
        <is>
          <t>11</t>
        </is>
      </c>
      <c r="C23" s="7" t="inlineStr">
        <is>
          <t>Bases de calcul</t>
        </is>
      </c>
      <c r="D23" s="8" t="inlineStr">
        <is>
          <t>Formules detaillees par dispositif + parametres d'entree + exemples chiffres</t>
        </is>
      </c>
    </row>
    <row r="24" ht="28" customHeight="1">
      <c r="B24" s="10" t="inlineStr">
        <is>
          <t>12</t>
        </is>
      </c>
      <c r="C24" s="7" t="inlineStr">
        <is>
          <t>Simulateurs interactifs</t>
        </is>
      </c>
      <c r="D24" s="8" t="inlineStr">
        <is>
          <t>5 simulateurs Excel vivants : LED, PV, IRVE, PAC copro, GTB BACS - entrer ses valeurs</t>
        </is>
      </c>
    </row>
    <row r="25" ht="22" customHeight="1"/>
    <row r="26" ht="22" customHeight="1"/>
    <row r="27" ht="22" customHeight="1">
      <c r="B27" s="11" t="inlineStr">
        <is>
          <t>AVERTISSEMENT</t>
        </is>
      </c>
    </row>
    <row r="28" ht="22" customHeight="1">
      <c r="B28" s="12" t="inlineStr">
        <is>
          <t>Les montants, plafonds et conditions d'eligibilite sont ceux en vigueur au 16/05/2026. Les baremes CEE (bonifications, coups de pouce), les arretes tarifaires PV (S21/S26) et les enveloppes ADEME evoluent chaque trimestre voire chaque mois. AVANT TOUT ENGAGEMENT COMMERCIAL CHIFFRE, valider les montants actualises aupres de : (1) le mandataire CEE partenaire, (2) ADEME / Bpifrance pour les subventions, (3) la Region IDF pour les aides regionales. Document non contractuel - usage interne strict.</t>
        </is>
      </c>
    </row>
    <row r="29" ht="22" customHeight="1"/>
    <row r="30" ht="22" customHeight="1"/>
    <row r="31" ht="22" customHeight="1"/>
  </sheetData>
  <mergeCells count="5">
    <mergeCell ref="B27:H27"/>
    <mergeCell ref="B2:H2"/>
    <mergeCell ref="B11:H11"/>
    <mergeCell ref="B3:H3"/>
    <mergeCell ref="B28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4" customWidth="1" min="4" max="4"/>
    <col width="18" customWidth="1" min="5" max="5"/>
    <col width="22" customWidth="1" min="6" max="6"/>
    <col width="18" customWidth="1" min="7" max="7"/>
    <col width="36" customWidth="1" min="8" max="8"/>
    <col width="14" customWidth="1" min="9" max="9"/>
    <col width="28" customWidth="1" min="10" max="10"/>
    <col width="22" customWidth="1" min="11" max="11"/>
    <col width="30" customWidth="1" min="12" max="12"/>
    <col width="20" customWidth="1" min="13" max="13"/>
    <col width="22" customWidth="1" min="14" max="14"/>
    <col width="18" customWidth="1" min="15" max="15"/>
    <col width="18" customWidth="1" min="16" max="16"/>
    <col width="22" customWidth="1" min="17" max="17"/>
    <col width="30" customWidth="1" min="18" max="18"/>
    <col width="38" customWidth="1" min="19" max="19"/>
    <col width="12" customWidth="1" min="20" max="20"/>
  </cols>
  <sheetData>
    <row r="1" ht="32" customHeight="1">
      <c r="A1" s="13" t="inlineStr">
        <is>
          <t>RECENSEMENT COMPLET DES AIDES ENERGIE - MAI 2026</t>
        </is>
      </c>
    </row>
    <row r="2">
      <c r="A2" s="14" t="inlineStr">
        <is>
          <t>37 dispositifs - tri par categorie - filtres actives sur la ligne 3</t>
        </is>
      </c>
    </row>
    <row r="3" ht="50" customHeight="1">
      <c r="A3" s="15" t="inlineStr">
        <is>
          <t>N</t>
        </is>
      </c>
      <c r="B3" s="15" t="inlineStr">
        <is>
          <t>Categorie</t>
        </is>
      </c>
      <c r="C3" s="15" t="inlineStr">
        <is>
          <t>Nom du dispositif</t>
        </is>
      </c>
      <c r="D3" s="15" t="inlineStr">
        <is>
          <t>Type</t>
        </is>
      </c>
      <c r="E3" s="15" t="inlineStr">
        <is>
          <t>Financeur</t>
        </is>
      </c>
      <c r="F3" s="15" t="inlineStr">
        <is>
          <t>Beneficiaires eligibles</t>
        </is>
      </c>
      <c r="G3" s="15" t="inlineStr">
        <is>
          <t>Activite HUARD</t>
        </is>
      </c>
      <c r="H3" s="15" t="inlineStr">
        <is>
          <t>Travaux / equipements eligibles</t>
        </is>
      </c>
      <c r="I3" s="15" t="inlineStr">
        <is>
          <t>Montant min</t>
        </is>
      </c>
      <c r="J3" s="15" t="inlineStr">
        <is>
          <t>Montant max / Plafond</t>
        </is>
      </c>
      <c r="K3" s="15" t="inlineStr">
        <is>
          <t>Mode de calcul</t>
        </is>
      </c>
      <c r="L3" s="15" t="inlineStr">
        <is>
          <t>Criteres d'eligibilite cles</t>
        </is>
      </c>
      <c r="M3" s="15" t="inlineStr">
        <is>
          <t>Certifications exigees</t>
        </is>
      </c>
      <c r="N3" s="15" t="inlineStr">
        <is>
          <t>Cumul possible avec</t>
        </is>
      </c>
      <c r="O3" s="15" t="inlineStr">
        <is>
          <t>Qui depose le dossier</t>
        </is>
      </c>
      <c r="P3" s="15" t="inlineStr">
        <is>
          <t>Calendrier / validite</t>
        </is>
      </c>
      <c r="Q3" s="15" t="inlineStr">
        <is>
          <t>Reference texte</t>
        </is>
      </c>
      <c r="R3" s="15" t="inlineStr">
        <is>
          <t>Lien officiel</t>
        </is>
      </c>
      <c r="S3" s="15" t="inlineStr">
        <is>
          <t>Levier commercial HUARD</t>
        </is>
      </c>
      <c r="T3" s="15" t="inlineStr">
        <is>
          <t>Priorite</t>
        </is>
      </c>
    </row>
    <row r="4" ht="95" customHeight="1">
      <c r="A4" s="16" t="n">
        <v>1</v>
      </c>
      <c r="B4" s="17" t="inlineStr">
        <is>
          <t>CEE - Tertiaire</t>
        </is>
      </c>
      <c r="C4" s="16" t="inlineStr">
        <is>
          <t>CEE BAT-EQ-127 - Luminaire LED tertiaire</t>
        </is>
      </c>
      <c r="D4" s="16" t="inlineStr">
        <is>
          <t>CEE fiche standardisee</t>
        </is>
      </c>
      <c r="E4" s="16" t="inlineStr">
        <is>
          <t>Obliges CEE (Total, EDF, Engie, Auchan, mandataires)</t>
        </is>
      </c>
      <c r="F4" s="16" t="inlineStr">
        <is>
          <t>Tous proprietaires/exploitants de batiments tertiaires (bureaux, commerces, enseignement, sante, hotellerie, logistique)</t>
        </is>
      </c>
      <c r="G4" s="16" t="inlineStr">
        <is>
          <t>ELECTRICITE</t>
        </is>
      </c>
      <c r="H4" s="16" t="inlineStr">
        <is>
          <t>Remplacement de luminaires par modules LED neufs avec systeme de gestion (detection presence/luminosite). Marquage CE, efficacite &gt;= 130 lm/W.</t>
        </is>
      </c>
      <c r="I4" s="16" t="inlineStr">
        <is>
          <t>Variable selon kWh cumac generes (typique 4 a 12 EUR / luminaire)</t>
        </is>
      </c>
      <c r="J4" s="16" t="inlineStr">
        <is>
          <t>Pas de plafond legal - selon volume et marche CEE (cours kWh cumac ~7-9 EUR/MWh cumac en 2026)</t>
        </is>
      </c>
      <c r="K4" s="16" t="inlineStr">
        <is>
          <t>Forfait kWh cumac x zone climatique x duree d'usage / cours du marche CEE</t>
        </is>
      </c>
      <c r="L4" s="16" t="inlineStr">
        <is>
          <t>Travaux dans batiment existant &gt; 2 ans - signature devis APRES engagement CEE - facture detaillee - PV de pose</t>
        </is>
      </c>
      <c r="M4" s="16" t="inlineStr">
        <is>
          <t>Aucune RGE exigee en tertiaire pour cette fiche (RGE non obligatoire BAT)</t>
        </is>
      </c>
      <c r="N4" s="16" t="inlineStr">
        <is>
          <t>Coup de pouce eclairage (si actif) - aides regionales - suramortissement</t>
        </is>
      </c>
      <c r="O4" s="16" t="inlineStr">
        <is>
          <t>HUARD (en partenariat avec mandataire CEE) ou client direct</t>
        </is>
      </c>
      <c r="P4" s="16" t="inlineStr">
        <is>
          <t>Dispositif perenne - 5eme periode CEE jusqu'au 31/12/2026, 6eme periode en preparation</t>
        </is>
      </c>
      <c r="Q4" s="16" t="inlineStr">
        <is>
          <t>Arrete du 22/12/2014 modifie - fiche BAT-EQ-127 v.A35-5</t>
        </is>
      </c>
      <c r="R4" s="18" t="inlineStr">
        <is>
          <t>https://www.ecologie.gouv.fr/operations-standardisees-deconomies-denergie</t>
        </is>
      </c>
      <c r="S4" s="16" t="inlineStr">
        <is>
          <t>ARGUMENT N 1 ELEC : 'votre relamping LED finance a 30-70% par les CEE'. Cycle court, ROI &lt; 3 ans, recurrent (relamping cyclique).</t>
        </is>
      </c>
      <c r="T4" s="19" t="inlineStr">
        <is>
          <t>Haute</t>
        </is>
      </c>
    </row>
    <row r="5" ht="95" customHeight="1">
      <c r="A5" s="20" t="n">
        <v>2</v>
      </c>
      <c r="B5" s="17" t="inlineStr">
        <is>
          <t>CEE - Tertiaire</t>
        </is>
      </c>
      <c r="C5" s="20" t="inlineStr">
        <is>
          <t>CEE BAT-EQ-133 - Systeme de gestion de l'eclairage</t>
        </is>
      </c>
      <c r="D5" s="20" t="inlineStr">
        <is>
          <t>CEE fiche standardisee</t>
        </is>
      </c>
      <c r="E5" s="20" t="inlineStr">
        <is>
          <t>Obliges CEE</t>
        </is>
      </c>
      <c r="F5" s="20" t="inlineStr">
        <is>
          <t>Tertiaire - parkings couverts, circulations, sanitaires, bureaux</t>
        </is>
      </c>
      <c r="G5" s="20" t="inlineStr">
        <is>
          <t>ELECTRICITE</t>
        </is>
      </c>
      <c r="H5" s="20" t="inlineStr">
        <is>
          <t>Detecteurs de presence/luminosite, gradation automatique, gestion centralisee KNX/DALI</t>
        </is>
      </c>
      <c r="I5" s="20" t="inlineStr">
        <is>
          <t>Variable (~3-6 EUR/m2 traite)</t>
        </is>
      </c>
      <c r="J5" s="20" t="inlineStr">
        <is>
          <t>Pas de plafond - selon kWh cumac</t>
        </is>
      </c>
      <c r="K5" s="20" t="inlineStr">
        <is>
          <t>Forfait par m2 zone gestion x DJU x cours CEE</t>
        </is>
      </c>
      <c r="L5" s="20" t="inlineStr">
        <is>
          <t>Pose dans batiment existant - asservissement effectif a la presence et a l'eclairement</t>
        </is>
      </c>
      <c r="M5" s="20" t="inlineStr">
        <is>
          <t>Aucune RGE obligatoire</t>
        </is>
      </c>
      <c r="N5" s="20" t="inlineStr">
        <is>
          <t>BAT-EQ-127 (relamping LED), GTB</t>
        </is>
      </c>
      <c r="O5" s="20" t="inlineStr">
        <is>
          <t>HUARD + mandataire CEE</t>
        </is>
      </c>
      <c r="P5" s="20" t="inlineStr">
        <is>
          <t>Periode CEE en cours</t>
        </is>
      </c>
      <c r="Q5" s="20" t="inlineStr">
        <is>
          <t>Fiche CEE BAT-EQ-133</t>
        </is>
      </c>
      <c r="R5" s="21" t="inlineStr">
        <is>
          <t>https://www.ecologie.gouv.fr/operations-standardisees-deconomies-denergie</t>
        </is>
      </c>
      <c r="S5" s="20" t="inlineStr">
        <is>
          <t>Couple avec BAT-EQ-127 = offre globale eclairage clef en main. Marge sur produits + prime CEE.</t>
        </is>
      </c>
      <c r="T5" s="19" t="inlineStr">
        <is>
          <t>Haute</t>
        </is>
      </c>
    </row>
    <row r="6" ht="95" customHeight="1">
      <c r="A6" s="16" t="n">
        <v>3</v>
      </c>
      <c r="B6" s="17" t="inlineStr">
        <is>
          <t>CEE - Tertiaire</t>
        </is>
      </c>
      <c r="C6" s="16" t="inlineStr">
        <is>
          <t>CEE BAT-TH-116 - Systeme de GTB (Gestion Technique du Batiment)</t>
        </is>
      </c>
      <c r="D6" s="16" t="inlineStr">
        <is>
          <t>CEE fiche standardisee</t>
        </is>
      </c>
      <c r="E6" s="16" t="inlineStr">
        <is>
          <t>Obliges CEE</t>
        </is>
      </c>
      <c r="F6" s="16" t="inlineStr">
        <is>
          <t>Tertiaire &gt; 1000 m2 (cible decret BACS) - tous segments</t>
        </is>
      </c>
      <c r="G6" s="16" t="inlineStr">
        <is>
          <t>ELECTRICITE / CVC / MAINTENANCE</t>
        </is>
      </c>
      <c r="H6" s="16" t="inlineStr">
        <is>
          <t>GTB classe A ou B (norme NF EN ISO 52120-1) pilotant CVC, eclairage, ECS, stores. Compatible decret BACS.</t>
        </is>
      </c>
      <c r="I6" s="16" t="inlineStr">
        <is>
          <t>Tres eleve - typique 8 a 35 EUR/m2 traite</t>
        </is>
      </c>
      <c r="J6" s="16" t="inlineStr">
        <is>
          <t>Souvent &gt; 50 000 EUR pour un batiment de 5000 m2</t>
        </is>
      </c>
      <c r="K6" s="16" t="inlineStr">
        <is>
          <t>Forfait par m2 chauffe x classe GTB (A ou B) x usage x cours CEE</t>
        </is>
      </c>
      <c r="L6" s="16" t="inlineStr">
        <is>
          <t>Batiment &gt; 2 ans - GTB classe A ou B verifiee - asservissement effectif - releve consommation</t>
        </is>
      </c>
      <c r="M6" s="16" t="inlineStr">
        <is>
          <t>Aucune RGE obligatoire</t>
        </is>
      </c>
      <c r="N6" s="16" t="inlineStr">
        <is>
          <t>Decret tertiaire (DEET), Coup de pouce pilotage, ADEME ACTEE</t>
        </is>
      </c>
      <c r="O6" s="16" t="inlineStr">
        <is>
          <t>HUARD (integrateur) + mandataire CEE</t>
        </is>
      </c>
      <c r="P6" s="16" t="inlineStr">
        <is>
          <t>Fiche bonifiee jusque fin 2026 - revision attendue 7eme periode CEE</t>
        </is>
      </c>
      <c r="Q6" s="16" t="inlineStr">
        <is>
          <t>Fiche CEE BAT-TH-116 + decret BACS (decret n 2020-887)</t>
        </is>
      </c>
      <c r="R6" s="18" t="inlineStr">
        <is>
          <t>https://www.ecologie.gouv.fr/decret-bacs</t>
        </is>
      </c>
      <c r="S6" s="16" t="inlineStr">
        <is>
          <t>OPPORTUNITE MAJEURE : DECRET BACS rend obligatoire la GTB pour tertiaire avec systeme CVC &gt; 290 kW (et 70 kW en 2027). Marche captif.</t>
        </is>
      </c>
      <c r="T6" s="22" t="inlineStr">
        <is>
          <t>Tres haute</t>
        </is>
      </c>
    </row>
    <row r="7" ht="95" customHeight="1">
      <c r="A7" s="20" t="n">
        <v>4</v>
      </c>
      <c r="B7" s="17" t="inlineStr">
        <is>
          <t>CEE - Tertiaire</t>
        </is>
      </c>
      <c r="C7" s="20" t="inlineStr">
        <is>
          <t>CEE BAT-TH-104 - Pompe a chaleur (PAC) air/eau, eau/eau ou eau glycolee/eau</t>
        </is>
      </c>
      <c r="D7" s="20" t="inlineStr">
        <is>
          <t>CEE fiche standardisee</t>
        </is>
      </c>
      <c r="E7" s="20" t="inlineStr">
        <is>
          <t>Obliges CEE</t>
        </is>
      </c>
      <c r="F7" s="20" t="inlineStr">
        <is>
          <t>Tertiaire et collectif - tous segments</t>
        </is>
      </c>
      <c r="G7" s="20" t="inlineStr">
        <is>
          <t>CVC</t>
        </is>
      </c>
      <c r="H7" s="20" t="inlineStr">
        <is>
          <t>Installation d'une PAC en remplacement d'un systeme existant. SCOP minimal selon temperature de depart.</t>
        </is>
      </c>
      <c r="I7" s="20" t="inlineStr">
        <is>
          <t>Variable - typique 1500 a 8000 EUR par PAC</t>
        </is>
      </c>
      <c r="J7" s="20" t="inlineStr">
        <is>
          <t>Variable selon puissance et kWh cumac</t>
        </is>
      </c>
      <c r="K7" s="20" t="inlineStr">
        <is>
          <t>Forfait kW x SCOP x zone climatique x cours CEE</t>
        </is>
      </c>
      <c r="L7" s="20" t="inlineStr">
        <is>
          <t>PAC neuve - SCOP &gt;= 3,4 (basse T) ou 3,2 (moyenne T) - depose chaudiere fioul/gaz (bonifie si fioul)</t>
        </is>
      </c>
      <c r="M7" s="20" t="inlineStr">
        <is>
          <t>Qualification RGE QualiPAC ou equivalent recommandee (selon donneur d'ordre)</t>
        </is>
      </c>
      <c r="N7" s="20" t="inlineStr">
        <is>
          <t>Coup de pouce Chauffage tertiaire, Fonds Chaleur (geothermie), aides regionales</t>
        </is>
      </c>
      <c r="O7" s="20" t="inlineStr">
        <is>
          <t>HUARD (RGE) + mandataire CEE</t>
        </is>
      </c>
      <c r="P7" s="20" t="inlineStr">
        <is>
          <t>En vigueur - bonification renforcee sur sortie fioul jusque 31/12/2026</t>
        </is>
      </c>
      <c r="Q7" s="20" t="inlineStr">
        <is>
          <t>Fiche CEE BAT-TH-104</t>
        </is>
      </c>
      <c r="R7" s="21" t="inlineStr">
        <is>
          <t>https://www.ecologie.gouv.fr/operations-standardisees-deconomies-denergie</t>
        </is>
      </c>
      <c r="S7" s="20" t="inlineStr">
        <is>
          <t>Cible : copropriete chauffage collectif fioul/gaz, batiments tertiaires anciens. Offre 'CVC decarbonee clef en main'.</t>
        </is>
      </c>
      <c r="T7" s="22" t="inlineStr">
        <is>
          <t>Tres haute</t>
        </is>
      </c>
    </row>
    <row r="8" ht="95" customHeight="1">
      <c r="A8" s="16" t="n">
        <v>5</v>
      </c>
      <c r="B8" s="17" t="inlineStr">
        <is>
          <t>CEE - Tertiaire</t>
        </is>
      </c>
      <c r="C8" s="16" t="inlineStr">
        <is>
          <t>CEE BAT-TH-127 - Raccordement reseau de chaleur EnR&amp;R</t>
        </is>
      </c>
      <c r="D8" s="16" t="inlineStr">
        <is>
          <t>CEE fiche standardisee</t>
        </is>
      </c>
      <c r="E8" s="16" t="inlineStr">
        <is>
          <t>Obliges CEE</t>
        </is>
      </c>
      <c r="F8" s="16" t="inlineStr">
        <is>
          <t>Tertiaire et copro - dans communes desservies par un reseau de chaleur &gt; 50% EnR&amp;R</t>
        </is>
      </c>
      <c r="G8" s="16" t="inlineStr">
        <is>
          <t>CVC</t>
        </is>
      </c>
      <c r="H8" s="16" t="inlineStr">
        <is>
          <t>Sous-station de raccordement + travaux primaires</t>
        </is>
      </c>
      <c r="I8" s="16" t="inlineStr">
        <is>
          <t>1000 a 5000 EUR / logement equivalent</t>
        </is>
      </c>
      <c r="J8" s="16" t="inlineStr">
        <is>
          <t>Variable selon volume</t>
        </is>
      </c>
      <c r="K8" s="16" t="inlineStr">
        <is>
          <t>Forfait par logement equivalent ou par m2 chauffe x cours CEE</t>
        </is>
      </c>
      <c r="L8" s="16" t="inlineStr">
        <is>
          <t>Batiment existant &gt; 2 ans - raccordement effectif - taux EnR&amp;R reseau &gt; 50%</t>
        </is>
      </c>
      <c r="M8" s="16" t="inlineStr">
        <is>
          <t>Aucune RGE obligatoire</t>
        </is>
      </c>
      <c r="N8" s="16" t="inlineStr">
        <is>
          <t>Coup de pouce raccordement, Fonds Chaleur, MaPrimeRenov Copropriete</t>
        </is>
      </c>
      <c r="O8" s="16" t="inlineStr">
        <is>
          <t>HUARD + mandataire CEE</t>
        </is>
      </c>
      <c r="P8" s="16" t="inlineStr">
        <is>
          <t>Bonification active sur reseaux EnR &gt; 50%</t>
        </is>
      </c>
      <c r="Q8" s="16" t="inlineStr">
        <is>
          <t>Fiche CEE BAT-TH-127</t>
        </is>
      </c>
      <c r="R8" s="18" t="inlineStr">
        <is>
          <t>https://www.ecologie.gouv.fr/operations-standardisees-deconomies-denergie</t>
        </is>
      </c>
      <c r="S8" s="16" t="inlineStr">
        <is>
          <t>IDF : plus de 100 reseaux de chaleur - argument fort copro / tertiaire en centres urbains.</t>
        </is>
      </c>
      <c r="T8" s="19" t="inlineStr">
        <is>
          <t>Haute</t>
        </is>
      </c>
    </row>
    <row r="9" ht="95" customHeight="1">
      <c r="A9" s="20" t="n">
        <v>6</v>
      </c>
      <c r="B9" s="17" t="inlineStr">
        <is>
          <t>CEE - Tertiaire</t>
        </is>
      </c>
      <c r="C9" s="20" t="inlineStr">
        <is>
          <t>CEE BAT-TH-146 - Calorifugeage de points singuliers</t>
        </is>
      </c>
      <c r="D9" s="20" t="inlineStr">
        <is>
          <t>CEE fiche standardisee</t>
        </is>
      </c>
      <c r="E9" s="20" t="inlineStr">
        <is>
          <t>Obliges CEE</t>
        </is>
      </c>
      <c r="F9" s="20" t="inlineStr">
        <is>
          <t>Tertiaire, collectif, industrie</t>
        </is>
      </c>
      <c r="G9" s="20" t="inlineStr">
        <is>
          <t>CVC / MAINTENANCE</t>
        </is>
      </c>
      <c r="H9" s="20" t="inlineStr">
        <is>
          <t>Calorifugeage des points singuliers de reseau (vannes, brides, pompes) en chaufferie</t>
        </is>
      </c>
      <c r="I9" s="20" t="inlineStr">
        <is>
          <t>100 a 600 EUR / point singulier</t>
        </is>
      </c>
      <c r="J9" s="20" t="inlineStr">
        <is>
          <t>Selon nombre de points</t>
        </is>
      </c>
      <c r="K9" s="20" t="inlineStr">
        <is>
          <t>Forfait par point x cours CEE</t>
        </is>
      </c>
      <c r="L9" s="20" t="inlineStr">
        <is>
          <t>Reseau &gt; 50 degC - epaisseur isolant conforme - pose dans existant</t>
        </is>
      </c>
      <c r="M9" s="20" t="inlineStr">
        <is>
          <t>Aucune RGE obligatoire</t>
        </is>
      </c>
      <c r="N9" s="20" t="inlineStr">
        <is>
          <t>BAT-TH-145, contrats P2/P3</t>
        </is>
      </c>
      <c r="O9" s="20" t="inlineStr">
        <is>
          <t>HUARD (maintenance) + mandataire CEE</t>
        </is>
      </c>
      <c r="P9" s="20" t="inlineStr">
        <is>
          <t>En vigueur</t>
        </is>
      </c>
      <c r="Q9" s="20" t="inlineStr">
        <is>
          <t>Fiche CEE BAT-TH-146</t>
        </is>
      </c>
      <c r="R9" s="21" t="inlineStr">
        <is>
          <t>https://www.ecologie.gouv.fr/operations-standardisees-deconomies-denergie</t>
        </is>
      </c>
      <c r="S9" s="20" t="inlineStr">
        <is>
          <t>Action recurrente facile a vendre en contrat maintenance - financement quasi 100% par CEE.</t>
        </is>
      </c>
      <c r="T9" s="23" t="inlineStr">
        <is>
          <t>Moyenne</t>
        </is>
      </c>
    </row>
    <row r="10" ht="95" customHeight="1">
      <c r="A10" s="16" t="n">
        <v>7</v>
      </c>
      <c r="B10" s="17" t="inlineStr">
        <is>
          <t>CEE - Tertiaire</t>
        </is>
      </c>
      <c r="C10" s="16" t="inlineStr">
        <is>
          <t>CEE BAT-TH-141 - Systeme de regulation par programmation horaire</t>
        </is>
      </c>
      <c r="D10" s="16" t="inlineStr">
        <is>
          <t>CEE fiche standardisee</t>
        </is>
      </c>
      <c r="E10" s="16" t="inlineStr">
        <is>
          <t>Obliges CEE</t>
        </is>
      </c>
      <c r="F10" s="16" t="inlineStr">
        <is>
          <t>Tertiaire</t>
        </is>
      </c>
      <c r="G10" s="16" t="inlineStr">
        <is>
          <t>CVC / ELECTRICITE</t>
        </is>
      </c>
      <c r="H10" s="16" t="inlineStr">
        <is>
          <t>Horloge / programmateur sur installation de chauffage ou ECS</t>
        </is>
      </c>
      <c r="I10" s="16" t="inlineStr">
        <is>
          <t>150 a 800 EUR / installation</t>
        </is>
      </c>
      <c r="J10" s="16" t="inlineStr">
        <is>
          <t>Selon kWh cumac</t>
        </is>
      </c>
      <c r="K10" s="16" t="inlineStr">
        <is>
          <t>Forfait x cours CEE</t>
        </is>
      </c>
      <c r="L10" s="16" t="inlineStr">
        <is>
          <t>Pose dans batiment &gt; 2 ans - regulation effective</t>
        </is>
      </c>
      <c r="M10" s="16" t="inlineStr">
        <is>
          <t>Aucune RGE</t>
        </is>
      </c>
      <c r="N10" s="16" t="inlineStr">
        <is>
          <t>GTB (BAT-TH-116)</t>
        </is>
      </c>
      <c r="O10" s="16" t="inlineStr">
        <is>
          <t>HUARD + mandataire</t>
        </is>
      </c>
      <c r="P10" s="16" t="inlineStr">
        <is>
          <t>En vigueur</t>
        </is>
      </c>
      <c r="Q10" s="16" t="inlineStr">
        <is>
          <t>Fiche CEE BAT-TH-141</t>
        </is>
      </c>
      <c r="R10" s="18" t="inlineStr">
        <is>
          <t>https://www.ecologie.gouv.fr/operations-standardisees-deconomies-denergie</t>
        </is>
      </c>
      <c r="S10" s="16" t="inlineStr">
        <is>
          <t>Action low-cost a integrer systematiquement dans toute prestation CVC.</t>
        </is>
      </c>
      <c r="T10" s="23" t="inlineStr">
        <is>
          <t>Moyenne</t>
        </is>
      </c>
    </row>
    <row r="11" ht="95" customHeight="1">
      <c r="A11" s="20" t="n">
        <v>8</v>
      </c>
      <c r="B11" s="17" t="inlineStr">
        <is>
          <t>CEE - Tertiaire</t>
        </is>
      </c>
      <c r="C11" s="20" t="inlineStr">
        <is>
          <t>CEE BAT-TH-155 / 125 - Ventilation double flux haute efficacite</t>
        </is>
      </c>
      <c r="D11" s="20" t="inlineStr">
        <is>
          <t>CEE fiche standardisee</t>
        </is>
      </c>
      <c r="E11" s="20" t="inlineStr">
        <is>
          <t>Obliges CEE</t>
        </is>
      </c>
      <c r="F11" s="20" t="inlineStr">
        <is>
          <t>Tertiaire</t>
        </is>
      </c>
      <c r="G11" s="20" t="inlineStr">
        <is>
          <t>CVC</t>
        </is>
      </c>
      <c r="H11" s="20" t="inlineStr">
        <is>
          <t>VMC double flux avec echangeur a haute efficacite (&gt;= 75%)</t>
        </is>
      </c>
      <c r="I11" s="20" t="inlineStr">
        <is>
          <t>Variable</t>
        </is>
      </c>
      <c r="J11" s="20" t="inlineStr">
        <is>
          <t>Selon kWh cumac</t>
        </is>
      </c>
      <c r="K11" s="20" t="inlineStr">
        <is>
          <t>Forfait par m3/h x cours CEE</t>
        </is>
      </c>
      <c r="L11" s="20" t="inlineStr">
        <is>
          <t>Echangeur &gt;= 75% - moteur basse conso - filtre F7 minimum</t>
        </is>
      </c>
      <c r="M11" s="20" t="inlineStr">
        <is>
          <t>Aucune RGE</t>
        </is>
      </c>
      <c r="N11" s="20" t="inlineStr">
        <is>
          <t>BAT-TH-116 (GTB), audit energetique</t>
        </is>
      </c>
      <c r="O11" s="20" t="inlineStr">
        <is>
          <t>HUARD + mandataire</t>
        </is>
      </c>
      <c r="P11" s="20" t="inlineStr">
        <is>
          <t>En vigueur</t>
        </is>
      </c>
      <c r="Q11" s="20" t="inlineStr">
        <is>
          <t>Fiche CEE BAT-TH-155</t>
        </is>
      </c>
      <c r="R11" s="21" t="inlineStr">
        <is>
          <t>https://www.ecologie.gouv.fr/operations-standardisees-deconomies-denergie</t>
        </is>
      </c>
      <c r="S11" s="20" t="inlineStr">
        <is>
          <t>QAI + economies = double argument post-Covid, fort en bureaux/ecoles.</t>
        </is>
      </c>
      <c r="T11" s="23" t="inlineStr">
        <is>
          <t>Moyenne</t>
        </is>
      </c>
    </row>
    <row r="12" ht="95" customHeight="1">
      <c r="A12" s="16" t="n">
        <v>9</v>
      </c>
      <c r="B12" s="24" t="inlineStr">
        <is>
          <t>CEE - Industrie</t>
        </is>
      </c>
      <c r="C12" s="16" t="inlineStr">
        <is>
          <t>CEE IND-UT-103 - Variateur electronique de vitesse (VEV)</t>
        </is>
      </c>
      <c r="D12" s="16" t="inlineStr">
        <is>
          <t>CEE fiche standardisee</t>
        </is>
      </c>
      <c r="E12" s="16" t="inlineStr">
        <is>
          <t>Obliges CEE</t>
        </is>
      </c>
      <c r="F12" s="16" t="inlineStr">
        <is>
          <t>Sites industriels et tertiaires avec moteurs asynchrones</t>
        </is>
      </c>
      <c r="G12" s="16" t="inlineStr">
        <is>
          <t>ELECTRICITE / MAINTENANCE</t>
        </is>
      </c>
      <c r="H12" s="16" t="inlineStr">
        <is>
          <t>Pose VEV sur moteur asynchrone alimentant pompe/ventilateur/compresseur</t>
        </is>
      </c>
      <c r="I12" s="16" t="inlineStr">
        <is>
          <t>300 a 3000 EUR / moteur</t>
        </is>
      </c>
      <c r="J12" s="16" t="inlineStr">
        <is>
          <t>Selon kW</t>
        </is>
      </c>
      <c r="K12" s="16" t="inlineStr">
        <is>
          <t>Forfait par kW x cours CEE</t>
        </is>
      </c>
      <c r="L12" s="16" t="inlineStr">
        <is>
          <t>Moteur &gt; 0,75 kW - charge variable - pose neuve</t>
        </is>
      </c>
      <c r="M12" s="16" t="inlineStr">
        <is>
          <t>Aucune RGE</t>
        </is>
      </c>
      <c r="N12" s="16" t="inlineStr">
        <is>
          <t>Toutes aides decarbonation industrie</t>
        </is>
      </c>
      <c r="O12" s="16" t="inlineStr">
        <is>
          <t>HUARD + mandataire</t>
        </is>
      </c>
      <c r="P12" s="16" t="inlineStr">
        <is>
          <t>En vigueur</t>
        </is>
      </c>
      <c r="Q12" s="16" t="inlineStr">
        <is>
          <t>Fiche CEE IND-UT-103</t>
        </is>
      </c>
      <c r="R12" s="18" t="inlineStr">
        <is>
          <t>https://www.ecologie.gouv.fr/operations-standardisees-deconomies-denergie</t>
        </is>
      </c>
      <c r="S12" s="16" t="inlineStr">
        <is>
          <t>Forte rentabilite client - argument 'efficacite + CEE finance &gt;50%'.</t>
        </is>
      </c>
      <c r="T12" s="19" t="inlineStr">
        <is>
          <t>Haute</t>
        </is>
      </c>
    </row>
    <row r="13" ht="95" customHeight="1">
      <c r="A13" s="20" t="n">
        <v>10</v>
      </c>
      <c r="B13" s="24" t="inlineStr">
        <is>
          <t>CEE - Industrie</t>
        </is>
      </c>
      <c r="C13" s="20" t="inlineStr">
        <is>
          <t>CEE IND-UT-117 - Recuperation de chaleur sur compresseur d'air</t>
        </is>
      </c>
      <c r="D13" s="20" t="inlineStr">
        <is>
          <t>CEE fiche standardisee</t>
        </is>
      </c>
      <c r="E13" s="20" t="inlineStr">
        <is>
          <t>Obliges CEE</t>
        </is>
      </c>
      <c r="F13" s="20" t="inlineStr">
        <is>
          <t>Sites industriels</t>
        </is>
      </c>
      <c r="G13" s="20" t="inlineStr">
        <is>
          <t>CVC / MAINTENANCE</t>
        </is>
      </c>
      <c r="H13" s="20" t="inlineStr">
        <is>
          <t>Recuperation chaleur fatale des compresseurs d'air vers ECS ou chauffage</t>
        </is>
      </c>
      <c r="I13" s="20" t="inlineStr">
        <is>
          <t>Variable - typique 3000 a 15000 EUR</t>
        </is>
      </c>
      <c r="J13" s="20" t="inlineStr">
        <is>
          <t>Selon kWh cumac</t>
        </is>
      </c>
      <c r="K13" s="20" t="inlineStr">
        <is>
          <t>Forfait par kW thermique recupere</t>
        </is>
      </c>
      <c r="L13" s="20" t="inlineStr">
        <is>
          <t>Compresseur &gt; 10 kW - usage continu</t>
        </is>
      </c>
      <c r="M13" s="20" t="inlineStr">
        <is>
          <t>Aucune RGE</t>
        </is>
      </c>
      <c r="N13" s="20" t="inlineStr">
        <is>
          <t>Fonds Chaleur (chaleur fatale)</t>
        </is>
      </c>
      <c r="O13" s="20" t="inlineStr">
        <is>
          <t>HUARD + mandataire</t>
        </is>
      </c>
      <c r="P13" s="20" t="inlineStr">
        <is>
          <t>En vigueur</t>
        </is>
      </c>
      <c r="Q13" s="20" t="inlineStr">
        <is>
          <t>Fiche CEE IND-UT-117</t>
        </is>
      </c>
      <c r="R13" s="21" t="inlineStr">
        <is>
          <t>https://www.ecologie.gouv.fr/operations-standardisees-deconomies-denergie</t>
        </is>
      </c>
      <c r="S13" s="20" t="inlineStr">
        <is>
          <t>Cible PME industrielles - couple Diag Eco-Flux + CEE + Fonds Chaleur.</t>
        </is>
      </c>
      <c r="T13" s="23" t="inlineStr">
        <is>
          <t>Moyenne</t>
        </is>
      </c>
    </row>
    <row r="14" ht="95" customHeight="1">
      <c r="A14" s="16" t="n">
        <v>11</v>
      </c>
      <c r="B14" s="25" t="inlineStr">
        <is>
          <t>Coup de pouce CEE</t>
        </is>
      </c>
      <c r="C14" s="16" t="inlineStr">
        <is>
          <t>Coup de pouce 'Chauffage tertiaire'</t>
        </is>
      </c>
      <c r="D14" s="16" t="inlineStr">
        <is>
          <t>CEE bonifie</t>
        </is>
      </c>
      <c r="E14" s="16" t="inlineStr">
        <is>
          <t>Obliges CEE signataires de la charte</t>
        </is>
      </c>
      <c r="F14" s="16" t="inlineStr">
        <is>
          <t>Batiments tertiaires - tous segments</t>
        </is>
      </c>
      <c r="G14" s="16" t="inlineStr">
        <is>
          <t>CVC</t>
        </is>
      </c>
      <c r="H14" s="16" t="inlineStr">
        <is>
          <t>Remplacement chaudiere charbon/fioul/gaz par : raccordement reseau de chaleur EnR, PAC, chaudiere biomasse</t>
        </is>
      </c>
      <c r="I14" s="16" t="inlineStr">
        <is>
          <t>5x a 10x les CEE standards</t>
        </is>
      </c>
      <c r="J14" s="16" t="inlineStr">
        <is>
          <t>Selon volume</t>
        </is>
      </c>
      <c r="K14" s="16" t="inlineStr">
        <is>
          <t>Bonification des kWh cumac x facteur 2 a 4 selon energie sortie</t>
        </is>
      </c>
      <c r="L14" s="16" t="inlineStr">
        <is>
          <t>Sortie fioul/charbon = bonification max - engagement avant fin charte</t>
        </is>
      </c>
      <c r="M14" s="16" t="inlineStr">
        <is>
          <t>Aucune RGE specifique (tertiaire)</t>
        </is>
      </c>
      <c r="N14" s="16" t="inlineStr">
        <is>
          <t>Fonds Chaleur, aides regionales, MaPrimeRenov Copro</t>
        </is>
      </c>
      <c r="O14" s="16" t="inlineStr">
        <is>
          <t>HUARD + mandataire signataire charte</t>
        </is>
      </c>
      <c r="P14" s="16" t="inlineStr">
        <is>
          <t>Operation engagee avant le 31/12/2026 (charte courante)</t>
        </is>
      </c>
      <c r="Q14" s="16" t="inlineStr">
        <is>
          <t>Arrete coup de pouce - charte sectorielle</t>
        </is>
      </c>
      <c r="R14" s="18" t="inlineStr">
        <is>
          <t>https://www.ecologie.gouv.fr/coup-pouce-economies-denergie</t>
        </is>
      </c>
      <c r="S14" s="16" t="inlineStr">
        <is>
          <t>Argument 'derniere ligne droite avant fin du coup de pouce' - urgence commerciale forte.</t>
        </is>
      </c>
      <c r="T14" s="22" t="inlineStr">
        <is>
          <t>Tres haute</t>
        </is>
      </c>
    </row>
    <row r="15" ht="95" customHeight="1">
      <c r="A15" s="20" t="n">
        <v>12</v>
      </c>
      <c r="B15" s="25" t="inlineStr">
        <is>
          <t>Coup de pouce CEE</t>
        </is>
      </c>
      <c r="C15" s="20" t="inlineStr">
        <is>
          <t>Coup de pouce 'Pilotage connecte du chauffage'</t>
        </is>
      </c>
      <c r="D15" s="20" t="inlineStr">
        <is>
          <t>CEE bonifie</t>
        </is>
      </c>
      <c r="E15" s="20" t="inlineStr">
        <is>
          <t>Obliges CEE</t>
        </is>
      </c>
      <c r="F15" s="20" t="inlineStr">
        <is>
          <t>Tertiaire et residentiel - systemes de chauffage central</t>
        </is>
      </c>
      <c r="G15" s="20" t="inlineStr">
        <is>
          <t>CVC / ELECTRICITE</t>
        </is>
      </c>
      <c r="H15" s="20" t="inlineStr">
        <is>
          <t>Equipement de regulation centralise type GTB classe A/B ou thermostat connecte</t>
        </is>
      </c>
      <c r="I15" s="20" t="inlineStr">
        <is>
          <t>Bonification ~ x2 vs CEE standard</t>
        </is>
      </c>
      <c r="J15" s="20" t="inlineStr">
        <is>
          <t>Selon batiment</t>
        </is>
      </c>
      <c r="K15" s="20" t="inlineStr">
        <is>
          <t>Bonification kWh cumac</t>
        </is>
      </c>
      <c r="L15" s="20" t="inlineStr">
        <is>
          <t>Pose et asservissement effectif</t>
        </is>
      </c>
      <c r="M15" s="20" t="inlineStr">
        <is>
          <t>Aucune RGE</t>
        </is>
      </c>
      <c r="N15" s="20" t="inlineStr">
        <is>
          <t>GTB BAT-TH-116, BAT-TH-141</t>
        </is>
      </c>
      <c r="O15" s="20" t="inlineStr">
        <is>
          <t>HUARD + mandataire</t>
        </is>
      </c>
      <c r="P15" s="20" t="inlineStr">
        <is>
          <t>En vigueur</t>
        </is>
      </c>
      <c r="Q15" s="20" t="inlineStr">
        <is>
          <t>Arrete coup de pouce pilotage</t>
        </is>
      </c>
      <c r="R15" s="21" t="inlineStr">
        <is>
          <t>https://www.ecologie.gouv.fr/coup-pouce-economies-denergie</t>
        </is>
      </c>
      <c r="S15" s="20" t="inlineStr">
        <is>
          <t>Couple parfait avec offre 'maintenance connectee' HUARD.</t>
        </is>
      </c>
      <c r="T15" s="19" t="inlineStr">
        <is>
          <t>Haute</t>
        </is>
      </c>
    </row>
    <row r="16" ht="95" customHeight="1">
      <c r="A16" s="16" t="n">
        <v>13</v>
      </c>
      <c r="B16" s="25" t="inlineStr">
        <is>
          <t>Coup de pouce CEE</t>
        </is>
      </c>
      <c r="C16" s="16" t="inlineStr">
        <is>
          <t>Coup de pouce 'Renovation performante de batiment tertiaire'</t>
        </is>
      </c>
      <c r="D16" s="16" t="inlineStr">
        <is>
          <t>CEE bonifie</t>
        </is>
      </c>
      <c r="E16" s="16" t="inlineStr">
        <is>
          <t>Obliges CEE</t>
        </is>
      </c>
      <c r="F16" s="16" t="inlineStr">
        <is>
          <t>Tertiaire - operations globales avec gain &gt;= 30% energie finale</t>
        </is>
      </c>
      <c r="G16" s="16" t="inlineStr">
        <is>
          <t>ELECTRICITE / CVC / MAINTENANCE</t>
        </is>
      </c>
      <c r="H16" s="16" t="inlineStr">
        <is>
          <t>Bouquet de travaux : isolation + ventilation + chauffage + pilotage demontrant &gt;= 30% gain</t>
        </is>
      </c>
      <c r="I16" s="16" t="inlineStr">
        <is>
          <t>Bonification importante (jusqu a x4)</t>
        </is>
      </c>
      <c r="J16" s="16" t="inlineStr">
        <is>
          <t>Selon volume</t>
        </is>
      </c>
      <c r="K16" s="16" t="inlineStr">
        <is>
          <t>kWh cumac bonifies x cours marche CEE</t>
        </is>
      </c>
      <c r="L16" s="16" t="inlineStr">
        <is>
          <t>Audit energetique prealable - simulation gain &gt;= 30% en EF - travaux conformes</t>
        </is>
      </c>
      <c r="M16" s="16" t="inlineStr">
        <is>
          <t>Audit obligatoire par bureau d'etudes qualifie OPQIBI 1905</t>
        </is>
      </c>
      <c r="N16" s="16" t="inlineStr">
        <is>
          <t>Decret tertiaire (mise en conformite), Fonds Chaleur, regions</t>
        </is>
      </c>
      <c r="O16" s="16" t="inlineStr">
        <is>
          <t>HUARD + BE + mandataire</t>
        </is>
      </c>
      <c r="P16" s="16" t="inlineStr">
        <is>
          <t>Charte en vigueur</t>
        </is>
      </c>
      <c r="Q16" s="16" t="inlineStr">
        <is>
          <t>Arrete coup de pouce renovation tertiaire</t>
        </is>
      </c>
      <c r="R16" s="18" t="inlineStr">
        <is>
          <t>https://www.ecologie.gouv.fr/coup-pouce-economies-denergie</t>
        </is>
      </c>
      <c r="S16" s="16" t="inlineStr">
        <is>
          <t>L'angle 'mise en conformite Decret Tertiaire + financement maximal' = pitch porte d'entree.</t>
        </is>
      </c>
      <c r="T16" s="22" t="inlineStr">
        <is>
          <t>Tres haute</t>
        </is>
      </c>
    </row>
    <row r="17" ht="95" customHeight="1">
      <c r="A17" s="20" t="n">
        <v>14</v>
      </c>
      <c r="B17" s="26" t="inlineStr">
        <is>
          <t>Photovoltaique</t>
        </is>
      </c>
      <c r="C17" s="20" t="inlineStr">
        <is>
          <t>Prime a l'investissement / autoconsommation PV (S26 trimestriel)</t>
        </is>
      </c>
      <c r="D17" s="20" t="inlineStr">
        <is>
          <t>Prime nationale (arrete tarifaire)</t>
        </is>
      </c>
      <c r="E17" s="20" t="inlineStr">
        <is>
          <t>Etat (CRE / EDF OA)</t>
        </is>
      </c>
      <c r="F17" s="20" t="inlineStr">
        <is>
          <t>Toute personne morale ou physique - installations en autoconso avec vente de surplus, &lt;= 500 kWc (au-dela : appel d'offres CRE)</t>
        </is>
      </c>
      <c r="G17" s="20" t="inlineStr">
        <is>
          <t>ELECTRICITE</t>
        </is>
      </c>
      <c r="H17" s="20" t="inlineStr">
        <is>
          <t>Installation PV en toiture ou ombriere, autoconsommation avec vente de surplus</t>
        </is>
      </c>
      <c r="I17" s="20" t="inlineStr">
        <is>
          <t>Variable par tranche - 0 pour &gt; 100 kWc</t>
        </is>
      </c>
      <c r="J17" s="20" t="inlineStr">
        <is>
          <t>Tranche &lt;= 3 kWc : ~80 EUR/kWc - 3-9 kWc : ~80 EUR/kWc - 9-36 kWc : ~190 EUR/kWc - 36-100 kWc : ~100 EUR/kWc (T2 2026 indicatif)</t>
        </is>
      </c>
      <c r="K17" s="20" t="inlineStr">
        <is>
          <t>EUR/kWc verse en 5 ans (1/5 par an) - revision trimestrielle par la CRE</t>
        </is>
      </c>
      <c r="L17" s="20" t="inlineStr">
        <is>
          <t>Installation en toiture/ombriere/hangar - integration paysagere - pose par installateur RGE - puissance &lt;= 500 kWc</t>
        </is>
      </c>
      <c r="M17" s="20" t="inlineStr">
        <is>
          <t>QualiPV / QualibatPV / Qualifelec SPV (selon donneur d'ordre)</t>
        </is>
      </c>
      <c r="N17" s="20" t="inlineStr">
        <is>
          <t>TVA 10%, exoneration TVA depuis 2025 sur installations residentielles &lt;= 9 kWc, aides regions</t>
        </is>
      </c>
      <c r="O17" s="20" t="inlineStr">
        <is>
          <t>EDF OA via portail dedie - HUARD pour montage technique</t>
        </is>
      </c>
      <c r="P17" s="20" t="inlineStr">
        <is>
          <t>Arrete tarifaire S26 (revision trimestrielle - avr/juil/oct/janv 2026)</t>
        </is>
      </c>
      <c r="Q17" s="20" t="inlineStr">
        <is>
          <t>Arrete du 06/10/2021 modifie + arrete S26 2026</t>
        </is>
      </c>
      <c r="R17" s="21" t="inlineStr">
        <is>
          <t>https://www.photovoltaique.info/fr/preparer-un-projet/aspects-economiques/tarifs-dachat-et-autoconsommation/</t>
        </is>
      </c>
      <c r="S17" s="20" t="inlineStr">
        <is>
          <t>Marche tertiaire/industrie : autoconso = ROI 6-9 ans. Renforce avec obligation APER ombrieres parkings.</t>
        </is>
      </c>
      <c r="T17" s="22" t="inlineStr">
        <is>
          <t>Tres haute</t>
        </is>
      </c>
    </row>
    <row r="18" ht="95" customHeight="1">
      <c r="A18" s="16" t="n">
        <v>15</v>
      </c>
      <c r="B18" s="26" t="inlineStr">
        <is>
          <t>Photovoltaique</t>
        </is>
      </c>
      <c r="C18" s="16" t="inlineStr">
        <is>
          <t>Tarif d'achat surplus / totalite (Obligation d'Achat EDF OA)</t>
        </is>
      </c>
      <c r="D18" s="16" t="inlineStr">
        <is>
          <t>Tarif reglemente</t>
        </is>
      </c>
      <c r="E18" s="16" t="inlineStr">
        <is>
          <t>Etat / EDF OA</t>
        </is>
      </c>
      <c r="F18" s="16" t="inlineStr">
        <is>
          <t>Producteurs PV &lt;= 500 kWc</t>
        </is>
      </c>
      <c r="G18" s="16" t="inlineStr">
        <is>
          <t>ELECTRICITE</t>
        </is>
      </c>
      <c r="H18" s="16" t="inlineStr">
        <is>
          <t>Rachat du surplus d'autoconsommation ou de la totalite de la production</t>
        </is>
      </c>
      <c r="I18" s="16" t="inlineStr">
        <is>
          <t>Contrat 20 ans</t>
        </is>
      </c>
      <c r="J18" s="16" t="inlineStr">
        <is>
          <t>N/A (tarif indexe)</t>
        </is>
      </c>
      <c r="K18" s="16" t="inlineStr">
        <is>
          <t>Tarif EUR/kWh fixe sur 20 ans - revision trimestrielle des nouveaux contrats</t>
        </is>
      </c>
      <c r="L18" s="16" t="inlineStr">
        <is>
          <t>Installation conforme - puissance &lt;= 500 kWc - integration au reseau</t>
        </is>
      </c>
      <c r="M18" s="16" t="inlineStr">
        <is>
          <t>QualiPV / equivalent</t>
        </is>
      </c>
      <c r="N18" s="16" t="inlineStr">
        <is>
          <t>Prime autoconsommation</t>
        </is>
      </c>
      <c r="O18" s="16" t="inlineStr">
        <is>
          <t>EDF OA - dossier en ligne</t>
        </is>
      </c>
      <c r="P18" s="16" t="inlineStr">
        <is>
          <t>Contrat 20 ans, signature des MES</t>
        </is>
      </c>
      <c r="Q18" s="16" t="inlineStr">
        <is>
          <t>Code de l'energie art. L.314-1 et suivants</t>
        </is>
      </c>
      <c r="R18" s="18" t="inlineStr">
        <is>
          <t>https://www.edf-oa.fr</t>
        </is>
      </c>
      <c r="S18" s="16" t="inlineStr">
        <is>
          <t>Securisation 20 ans du revenu = argument financier solide pour COMEX clients.</t>
        </is>
      </c>
      <c r="T18" s="22" t="inlineStr">
        <is>
          <t>Tres haute</t>
        </is>
      </c>
    </row>
    <row r="19" ht="95" customHeight="1">
      <c r="A19" s="20" t="n">
        <v>16</v>
      </c>
      <c r="B19" s="26" t="inlineStr">
        <is>
          <t>Photovoltaique</t>
        </is>
      </c>
      <c r="C19" s="20" t="inlineStr">
        <is>
          <t>Loi APER - obligation PV/ombrieres sur parkings et batiments</t>
        </is>
      </c>
      <c r="D19" s="20" t="inlineStr">
        <is>
          <t>Obligation reglementaire (creatrice de marche)</t>
        </is>
      </c>
      <c r="E19" s="20" t="inlineStr">
        <is>
          <t>Etat (DGEC)</t>
        </is>
      </c>
      <c r="F19" s="20" t="inlineStr">
        <is>
          <t>Proprietaires de parkings &gt; 1500 m2 (depuis 07/2026 : 500 m2 pour les nouveaux), batiments commerciaux/industriels &gt; 500 m2</t>
        </is>
      </c>
      <c r="G19" s="20" t="inlineStr">
        <is>
          <t>ELECTRICITE</t>
        </is>
      </c>
      <c r="H19" s="20" t="inlineStr">
        <is>
          <t>Couverture par ombrieres PV sur 50% de la surface du parking - integration PV en toiture sur batiments non residentiels neufs et renoves</t>
        </is>
      </c>
      <c r="I19" s="20" t="inlineStr">
        <is>
          <t>N/A - obligation</t>
        </is>
      </c>
      <c r="J19" s="20" t="inlineStr">
        <is>
          <t>Sanction jusqu'a 40000 EUR/an non couverte (parkings)</t>
        </is>
      </c>
      <c r="K19" s="20" t="inlineStr">
        <is>
          <t>Obligation - investissement client</t>
        </is>
      </c>
      <c r="L19" s="20" t="inlineStr">
        <is>
          <t>Calendrier d'application progressif - 07/2026 pour parkings 500-1500 m2</t>
        </is>
      </c>
      <c r="M19" s="20" t="inlineStr">
        <is>
          <t>QualiPV / Qualifelec SPV</t>
        </is>
      </c>
      <c r="N19" s="20" t="inlineStr">
        <is>
          <t>Prime autoconso, tarif rachat surplus, aides regions, suramortissement industrie</t>
        </is>
      </c>
      <c r="O19" s="20" t="inlineStr">
        <is>
          <t>Client (HUARD = installateur recommande)</t>
        </is>
      </c>
      <c r="P19" s="20" t="inlineStr">
        <is>
          <t>Loi 2023-175 + decrets 2023 + decret 2024 elargissement</t>
        </is>
      </c>
      <c r="Q19" s="20" t="inlineStr">
        <is>
          <t>Loi APER + decrets 2023-1408 et 2024-XX</t>
        </is>
      </c>
      <c r="R19" s="21" t="inlineStr">
        <is>
          <t>https://www.legifrance.gouv.fr/jorf/id/JORFTEXT000047283081</t>
        </is>
      </c>
      <c r="S19" s="20" t="inlineStr">
        <is>
          <t>MARCHE CAPTIF MAJEUR : prospection systematique parkings hyper/super, zones logistiques, centres commerciaux, sites industriels.</t>
        </is>
      </c>
      <c r="T19" s="22" t="inlineStr">
        <is>
          <t>Tres haute</t>
        </is>
      </c>
    </row>
    <row r="20" ht="95" customHeight="1">
      <c r="A20" s="16" t="n">
        <v>17</v>
      </c>
      <c r="B20" s="26" t="inlineStr">
        <is>
          <t>Photovoltaique</t>
        </is>
      </c>
      <c r="C20" s="16" t="inlineStr">
        <is>
          <t>Programme OSCAR - ombrieres PV sur parkings publics</t>
        </is>
      </c>
      <c r="D20" s="16" t="inlineStr">
        <is>
          <t>Programme CEE (PRO-INNO-XX)</t>
        </is>
      </c>
      <c r="E20" s="16" t="inlineStr">
        <is>
          <t>Etat - finance via CEE</t>
        </is>
      </c>
      <c r="F20" s="16" t="inlineStr">
        <is>
          <t>Collectivites et acteurs publics</t>
        </is>
      </c>
      <c r="G20" s="16" t="inlineStr">
        <is>
          <t>ELECTRICITE</t>
        </is>
      </c>
      <c r="H20" s="16" t="inlineStr">
        <is>
          <t>Etudes et accompagnement a la pose d'ombrieres PV - financement partiel des etudes</t>
        </is>
      </c>
      <c r="I20" s="16" t="inlineStr">
        <is>
          <t>Plusieurs dizaines de milliers EUR / etude</t>
        </is>
      </c>
      <c r="J20" s="16" t="inlineStr">
        <is>
          <t>Couverture jusqu a 100% des etudes</t>
        </is>
      </c>
      <c r="K20" s="16" t="inlineStr">
        <is>
          <t>Forfait par etude</t>
        </is>
      </c>
      <c r="L20" s="16" t="inlineStr">
        <is>
          <t>Collectivite ou bailleur public - parking eligible</t>
        </is>
      </c>
      <c r="M20" s="16" t="inlineStr">
        <is>
          <t>BE qualifie</t>
        </is>
      </c>
      <c r="N20" s="16" t="inlineStr">
        <is>
          <t>Aides ADEME, prime autoconso PV</t>
        </is>
      </c>
      <c r="O20" s="16" t="inlineStr">
        <is>
          <t>Collectivite (HUARD = partenaire technique)</t>
        </is>
      </c>
      <c r="P20" s="16" t="inlineStr">
        <is>
          <t>Programme actif 2024-2027</t>
        </is>
      </c>
      <c r="Q20" s="16" t="inlineStr">
        <is>
          <t>Arrete portant validation du programme OSCAR</t>
        </is>
      </c>
      <c r="R20" s="18" t="inlineStr">
        <is>
          <t>https://www.programme-oscar.fr</t>
        </is>
      </c>
      <c r="S20" s="16" t="inlineStr">
        <is>
          <t>Porte d'entree collectivites IDF - meme si l'aide va au client, HUARD entre comme installateur PV.</t>
        </is>
      </c>
      <c r="T20" s="23" t="inlineStr">
        <is>
          <t>Moyenne</t>
        </is>
      </c>
    </row>
    <row r="21" ht="95" customHeight="1">
      <c r="A21" s="20" t="n">
        <v>18</v>
      </c>
      <c r="B21" s="26" t="inlineStr">
        <is>
          <t>Photovoltaique</t>
        </is>
      </c>
      <c r="C21" s="20" t="inlineStr">
        <is>
          <t>Appels d'offres CRE PV (&gt; 500 kWc)</t>
        </is>
      </c>
      <c r="D21" s="20" t="inlineStr">
        <is>
          <t>Appel d'offres</t>
        </is>
      </c>
      <c r="E21" s="20" t="inlineStr">
        <is>
          <t>CRE - Commission de regulation de l'energie</t>
        </is>
      </c>
      <c r="F21" s="20" t="inlineStr">
        <is>
          <t>Personnes morales - centrales PV au sol, ombrieres, batiments &gt; 500 kWc</t>
        </is>
      </c>
      <c r="G21" s="20" t="inlineStr">
        <is>
          <t>ELECTRICITE</t>
        </is>
      </c>
      <c r="H21" s="20" t="inlineStr">
        <is>
          <t>Centrales PV de grande puissance - vente totale au reseau</t>
        </is>
      </c>
      <c r="I21" s="20" t="inlineStr">
        <is>
          <t>Tarif laureat sur 20 ans</t>
        </is>
      </c>
      <c r="J21" s="20" t="inlineStr">
        <is>
          <t>N/A</t>
        </is>
      </c>
      <c r="K21" s="20" t="inlineStr">
        <is>
          <t>Tarif EUR/MWh propose par le candidat - selection au moins-disant</t>
        </is>
      </c>
      <c r="L21" s="20" t="inlineStr">
        <is>
          <t>Surface eligible - foncier - permis - candidature dans la fenetre AO</t>
        </is>
      </c>
      <c r="M21" s="20" t="inlineStr">
        <is>
          <t>QualiPV / qualif. bureau etudes</t>
        </is>
      </c>
      <c r="N21" s="20" t="inlineStr">
        <is>
          <t>Cumul limite avec autres aides</t>
        </is>
      </c>
      <c r="O21" s="20" t="inlineStr">
        <is>
          <t>Client + AMOA</t>
        </is>
      </c>
      <c r="P21" s="20" t="inlineStr">
        <is>
          <t>AO PPE2 - sessions semestrielles</t>
        </is>
      </c>
      <c r="Q21" s="20" t="inlineStr">
        <is>
          <t>Decisions CRE - PPE 2024-2035</t>
        </is>
      </c>
      <c r="R21" s="21" t="inlineStr">
        <is>
          <t>https://www.cre.fr/Pages-annexes/Recherche-Pages-annexes?query=appel+offres+PV</t>
        </is>
      </c>
      <c r="S21" s="20" t="inlineStr">
        <is>
          <t>Cible : sites industriels, logistique, foncier client &gt; 5000 m2 toiture - HUARD partenaire d'installation.</t>
        </is>
      </c>
      <c r="T21" s="23" t="inlineStr">
        <is>
          <t>Moyenne</t>
        </is>
      </c>
    </row>
    <row r="22" ht="95" customHeight="1">
      <c r="A22" s="16" t="n">
        <v>19</v>
      </c>
      <c r="B22" s="27" t="inlineStr">
        <is>
          <t>ADEME</t>
        </is>
      </c>
      <c r="C22" s="16" t="inlineStr">
        <is>
          <t>Fonds Chaleur ADEME - chaleur renouvelable</t>
        </is>
      </c>
      <c r="D22" s="16" t="inlineStr">
        <is>
          <t>Subvention</t>
        </is>
      </c>
      <c r="E22" s="16" t="inlineStr">
        <is>
          <t>ADEME</t>
        </is>
      </c>
      <c r="F22" s="16" t="inlineStr">
        <is>
          <t>Toute personne morale (entreprises, collectivites, copropriete, bailleurs sociaux, agricoles)</t>
        </is>
      </c>
      <c r="G22" s="16" t="inlineStr">
        <is>
          <t>CVC</t>
        </is>
      </c>
      <c r="H22" s="16" t="inlineStr">
        <is>
          <t>Geothermie (PAC sondes/nappe), biomasse, solaire thermique, reseaux de chaleur EnR&amp;R, recuperation chaleur fatale, methanisation</t>
        </is>
      </c>
      <c r="I22" s="16" t="inlineStr">
        <is>
          <t>Variable selon taille - planchers de surface/puissance</t>
        </is>
      </c>
      <c r="J22" s="16" t="inlineStr">
        <is>
          <t>Jusqu'a 65% des couts eligibles HT (PME) - taux module selon taille entreprise et type</t>
        </is>
      </c>
      <c r="K22" s="16" t="inlineStr">
        <is>
          <t>Forfait EUR/MWh produit (mode forfaitaire jusqu a un seuil) ou aide a l'investissement (taux)</t>
        </is>
      </c>
      <c r="L22" s="16" t="inlineStr">
        <is>
          <t>Etude de faisabilite - production EnR significative - performance minimale</t>
        </is>
      </c>
      <c r="M22" s="16" t="inlineStr">
        <is>
          <t>Bureau d'etudes qualifie (OPQIBI 2008/2009/...)</t>
        </is>
      </c>
      <c r="N22" s="16" t="inlineStr">
        <is>
          <t>CEE, aides regions (sous conditions de non double subvention)</t>
        </is>
      </c>
      <c r="O22" s="16" t="inlineStr">
        <is>
          <t>Client (HUARD aide au montage)</t>
        </is>
      </c>
      <c r="P22" s="16" t="inlineStr">
        <is>
          <t>Enveloppe annuelle - appels a projets en continu (BCIAT, BCIB, etc.)</t>
        </is>
      </c>
      <c r="Q22" s="16" t="inlineStr">
        <is>
          <t>Decisions ADEME annuelles - guide Fonds Chaleur</t>
        </is>
      </c>
      <c r="R22" s="18" t="inlineStr">
        <is>
          <t>https://fondschaleur.ademe.fr</t>
        </is>
      </c>
      <c r="S22" s="16" t="inlineStr">
        <is>
          <t>ARGUMENT MAJEUR CVC EnR : subvention massive + CEE + sortie d'energie fossile. Cibler chaufferie collective, hopitaux, ehpad, hotels, piscines.</t>
        </is>
      </c>
      <c r="T22" s="22" t="inlineStr">
        <is>
          <t>Tres haute</t>
        </is>
      </c>
    </row>
    <row r="23" ht="95" customHeight="1">
      <c r="A23" s="20" t="n">
        <v>20</v>
      </c>
      <c r="B23" s="27" t="inlineStr">
        <is>
          <t>ADEME</t>
        </is>
      </c>
      <c r="C23" s="20" t="inlineStr">
        <is>
          <t>Programme ACTEE - batiments publics</t>
        </is>
      </c>
      <c r="D23" s="20" t="inlineStr">
        <is>
          <t>Programme CEE (operateur FNCCR)</t>
        </is>
      </c>
      <c r="E23" s="20" t="inlineStr">
        <is>
          <t>FNCCR / CEE</t>
        </is>
      </c>
      <c r="F23" s="20" t="inlineStr">
        <is>
          <t>Collectivites locales (communes, EPCI, departements)</t>
        </is>
      </c>
      <c r="G23" s="20" t="inlineStr">
        <is>
          <t>ELECTRICITE / CVC / MAINTENANCE</t>
        </is>
      </c>
      <c r="H23" s="20" t="inlineStr">
        <is>
          <t>Etudes, AMOA, financement de l'economiste, des audits, des SI de suivi energie pour batiments publics (ecoles, mairies, gymnases)</t>
        </is>
      </c>
      <c r="I23" s="20" t="inlineStr">
        <is>
          <t>Quelques milliers EUR a centaines de milliers EUR</t>
        </is>
      </c>
      <c r="J23" s="20" t="inlineStr">
        <is>
          <t>Forfait par lot d'etudes / appareils de mesure</t>
        </is>
      </c>
      <c r="K23" s="20" t="inlineStr">
        <is>
          <t>Aide par lot</t>
        </is>
      </c>
      <c r="L23" s="20" t="inlineStr">
        <is>
          <t>Collectivite candidate dans un AAP ACTEE</t>
        </is>
      </c>
      <c r="M23" s="20" t="inlineStr">
        <is>
          <t>BE qualifie</t>
        </is>
      </c>
      <c r="N23" s="20" t="inlineStr">
        <is>
          <t>Fonds Chaleur, CEE, DSIL</t>
        </is>
      </c>
      <c r="O23" s="20" t="inlineStr">
        <is>
          <t>Collectivite (HUARD = installateur sur travaux qui suivent)</t>
        </is>
      </c>
      <c r="P23" s="20" t="inlineStr">
        <is>
          <t>Programme ACTEE+ 2024-2026</t>
        </is>
      </c>
      <c r="Q23" s="20" t="inlineStr">
        <is>
          <t>Convention ADEME-FNCCR</t>
        </is>
      </c>
      <c r="R23" s="21" t="inlineStr">
        <is>
          <t>https://www.programme-actee.fr</t>
        </is>
      </c>
      <c r="S23" s="20" t="inlineStr">
        <is>
          <t>Entree commerciale collectivites IDF - on suit les groupements de commandes issus d'ACTEE.</t>
        </is>
      </c>
      <c r="T23" s="23" t="inlineStr">
        <is>
          <t>Moyenne</t>
        </is>
      </c>
    </row>
    <row r="24" ht="95" customHeight="1">
      <c r="A24" s="16" t="n">
        <v>21</v>
      </c>
      <c r="B24" s="27" t="inlineStr">
        <is>
          <t>ADEME</t>
        </is>
      </c>
      <c r="C24" s="16" t="inlineStr">
        <is>
          <t>Diag Decarbon'Action</t>
        </is>
      </c>
      <c r="D24" s="16" t="inlineStr">
        <is>
          <t>Subvention Bpifrance/ADEME</t>
        </is>
      </c>
      <c r="E24" s="16" t="inlineStr">
        <is>
          <t>Bpifrance + ADEME</t>
        </is>
      </c>
      <c r="F24" s="16" t="inlineStr">
        <is>
          <t>PME (&lt; 500 salaries)</t>
        </is>
      </c>
      <c r="G24" s="16" t="inlineStr">
        <is>
          <t>ELECTRICITE / CVC</t>
        </is>
      </c>
      <c r="H24" s="16" t="inlineStr">
        <is>
          <t>Diagnostic GES + plan d'action de decarbonation accompagne par expert agree</t>
        </is>
      </c>
      <c r="I24" s="16" t="inlineStr">
        <is>
          <t>0 (pris en charge 80%)</t>
        </is>
      </c>
      <c r="J24" s="16" t="inlineStr">
        <is>
          <t>4000 EUR HT (cout total ~5000 EUR)</t>
        </is>
      </c>
      <c r="K24" s="16" t="inlineStr">
        <is>
          <t>Forfait</t>
        </is>
      </c>
      <c r="L24" s="16" t="inlineStr">
        <is>
          <t>PME, demande via plateforme Bpifrance</t>
        </is>
      </c>
      <c r="M24" s="16" t="inlineStr">
        <is>
          <t>Expert Bpifrance agree</t>
        </is>
      </c>
      <c r="N24" s="16" t="inlineStr">
        <is>
          <t>Cumul CEE, Fonds Chaleur, regions</t>
        </is>
      </c>
      <c r="O24" s="16" t="inlineStr">
        <is>
          <t>Client (Bpifrance)</t>
        </is>
      </c>
      <c r="P24" s="16" t="inlineStr">
        <is>
          <t>Programme en cours</t>
        </is>
      </c>
      <c r="Q24" s="16" t="inlineStr">
        <is>
          <t>Bpifrance - Diag Decarbon'Action</t>
        </is>
      </c>
      <c r="R24" s="18" t="inlineStr">
        <is>
          <t>https://www.bpifrance.fr/catalogue-offres/transition-ecologique-et-energetique/diag-decarbonaction</t>
        </is>
      </c>
      <c r="S24" s="16" t="inlineStr">
        <is>
          <t>Porte d'entree IDEALE chez nos clients PME pour ensuite vendre les actions concretes (CVC, eclairage, PV).</t>
        </is>
      </c>
      <c r="T24" s="19" t="inlineStr">
        <is>
          <t>Haute</t>
        </is>
      </c>
    </row>
    <row r="25" ht="95" customHeight="1">
      <c r="A25" s="20" t="n">
        <v>22</v>
      </c>
      <c r="B25" s="27" t="inlineStr">
        <is>
          <t>ADEME</t>
        </is>
      </c>
      <c r="C25" s="20" t="inlineStr">
        <is>
          <t>Diag Eco-Flux</t>
        </is>
      </c>
      <c r="D25" s="20" t="inlineStr">
        <is>
          <t>Subvention Bpifrance/ADEME</t>
        </is>
      </c>
      <c r="E25" s="20" t="inlineStr">
        <is>
          <t>Bpifrance + ADEME</t>
        </is>
      </c>
      <c r="F25" s="20" t="inlineStr">
        <is>
          <t>PME 20-250 salaries multi-sites souvent</t>
        </is>
      </c>
      <c r="G25" s="20" t="inlineStr">
        <is>
          <t>ELECTRICITE / CVC / MAINTENANCE</t>
        </is>
      </c>
      <c r="H25" s="20" t="inlineStr">
        <is>
          <t>Accompagnement 12 mois reduction conso eau/energie/matieres</t>
        </is>
      </c>
      <c r="I25" s="20" t="inlineStr">
        <is>
          <t>0 (pris en charge ~75%)</t>
        </is>
      </c>
      <c r="J25" s="20" t="inlineStr">
        <is>
          <t>3750 EUR HT pour le PME</t>
        </is>
      </c>
      <c r="K25" s="20" t="inlineStr">
        <is>
          <t>Forfait</t>
        </is>
      </c>
      <c r="L25" s="20" t="inlineStr">
        <is>
          <t>PME industrielle/tertiaire/commerce</t>
        </is>
      </c>
      <c r="M25" s="20" t="inlineStr">
        <is>
          <t>Cabinet agree Bpifrance</t>
        </is>
      </c>
      <c r="N25" s="20" t="inlineStr">
        <is>
          <t>Cumul CEE, Fonds Chaleur</t>
        </is>
      </c>
      <c r="O25" s="20" t="inlineStr">
        <is>
          <t>Client (Bpifrance)</t>
        </is>
      </c>
      <c r="P25" s="20" t="inlineStr">
        <is>
          <t>Programme en cours</t>
        </is>
      </c>
      <c r="Q25" s="20" t="inlineStr">
        <is>
          <t>Bpifrance Diag Eco-Flux</t>
        </is>
      </c>
      <c r="R25" s="21" t="inlineStr">
        <is>
          <t>https://www.bpifrance.fr/catalogue-offres/transition-ecologique-et-energetique/diag-eco-flux</t>
        </is>
      </c>
      <c r="S25" s="20" t="inlineStr">
        <is>
          <t>Etudes faites par expert = travaux ensuite confies a HUARD (qui aura aide a la conviction commerciale).</t>
        </is>
      </c>
      <c r="T25" s="19" t="inlineStr">
        <is>
          <t>Haute</t>
        </is>
      </c>
    </row>
    <row r="26" ht="95" customHeight="1">
      <c r="A26" s="16" t="n">
        <v>23</v>
      </c>
      <c r="B26" s="27" t="inlineStr">
        <is>
          <t>ADEME / France 2030</t>
        </is>
      </c>
      <c r="C26" s="16" t="inlineStr">
        <is>
          <t>Tremplin pour la transition ecologique des PME</t>
        </is>
      </c>
      <c r="D26" s="16" t="inlineStr">
        <is>
          <t>Subvention forfaitaire</t>
        </is>
      </c>
      <c r="E26" s="16" t="inlineStr">
        <is>
          <t>ADEME</t>
        </is>
      </c>
      <c r="F26" s="16" t="inlineStr">
        <is>
          <t>TPE/PME</t>
        </is>
      </c>
      <c r="G26" s="16" t="inlineStr">
        <is>
          <t>ELECTRICITE / CVC / MAINTENANCE</t>
        </is>
      </c>
      <c r="H26" s="16" t="inlineStr">
        <is>
          <t>Forfait sur ~50 actions eco (eclairage, pompes a chaleur, isolation, mobilite, etc.)</t>
        </is>
      </c>
      <c r="I26" s="16" t="inlineStr">
        <is>
          <t>1000 EUR (seuil minimal)</t>
        </is>
      </c>
      <c r="J26" s="16" t="inlineStr">
        <is>
          <t>200 000 EUR cumules par PME</t>
        </is>
      </c>
      <c r="K26" s="16" t="inlineStr">
        <is>
          <t>Forfait par action - taux 50 a 80%</t>
        </is>
      </c>
      <c r="L26" s="16" t="inlineStr">
        <is>
          <t>TPE/PME - depot en ligne ADEME - non commencee a la demande</t>
        </is>
      </c>
      <c r="M26" s="16" t="inlineStr">
        <is>
          <t>Aucune RGE specifique (selon action)</t>
        </is>
      </c>
      <c r="N26" s="16" t="inlineStr">
        <is>
          <t>Cumul CEE strict (l'aide se cumule mais decomptee)</t>
        </is>
      </c>
      <c r="O26" s="16" t="inlineStr">
        <is>
          <t>Client (ADEME)</t>
        </is>
      </c>
      <c r="P26" s="16" t="inlineStr">
        <is>
          <t>Guichet ouvert en continu</t>
        </is>
      </c>
      <c r="Q26" s="16" t="inlineStr">
        <is>
          <t>Tremplin PME ADEME</t>
        </is>
      </c>
      <c r="R26" s="18" t="inlineStr">
        <is>
          <t>https://agirpourlatransition.ademe.fr/entreprises/dispositif-aide/tremplin-transition-ecologique-pme</t>
        </is>
      </c>
      <c r="S26" s="16" t="inlineStr">
        <is>
          <t>Outil terrain simple - couple parfait avec un devis HUARD eclairage/CVC pour TPE-PME.</t>
        </is>
      </c>
      <c r="T26" s="19" t="inlineStr">
        <is>
          <t>Haute</t>
        </is>
      </c>
    </row>
    <row r="27" ht="95" customHeight="1">
      <c r="A27" s="20" t="n">
        <v>24</v>
      </c>
      <c r="B27" s="27" t="inlineStr">
        <is>
          <t>ADEME / Industrie</t>
        </is>
      </c>
      <c r="C27" s="20" t="inlineStr">
        <is>
          <t>Decarbonation industrielle - BCIAT / IndusEE / Heat&amp;Cool</t>
        </is>
      </c>
      <c r="D27" s="20" t="inlineStr">
        <is>
          <t>Subvention appel a projets</t>
        </is>
      </c>
      <c r="E27" s="20" t="inlineStr">
        <is>
          <t>ADEME / France 2030</t>
        </is>
      </c>
      <c r="F27" s="20" t="inlineStr">
        <is>
          <t>Industriels - sites de production</t>
        </is>
      </c>
      <c r="G27" s="20" t="inlineStr">
        <is>
          <t>CVC / MAINTENANCE</t>
        </is>
      </c>
      <c r="H27" s="20" t="inlineStr">
        <is>
          <t>Chaleur biomasse, electrification procedes, geothermie industrielle, recup chaleur fatale, efficacite procedes</t>
        </is>
      </c>
      <c r="I27" s="20" t="inlineStr">
        <is>
          <t>Variable</t>
        </is>
      </c>
      <c r="J27" s="20" t="inlineStr">
        <is>
          <t>Plusieurs M EUR par projet (regime aide d'Etat)</t>
        </is>
      </c>
      <c r="K27" s="20" t="inlineStr">
        <is>
          <t>Taux selon taille entreprise et zone AFR</t>
        </is>
      </c>
      <c r="L27" s="20" t="inlineStr">
        <is>
          <t>Audit prealable - business plan - candidature AAP</t>
        </is>
      </c>
      <c r="M27" s="20" t="inlineStr">
        <is>
          <t>BE qualifie</t>
        </is>
      </c>
      <c r="N27" s="20" t="inlineStr">
        <is>
          <t>CEE, Fonds Chaleur, regions</t>
        </is>
      </c>
      <c r="O27" s="20" t="inlineStr">
        <is>
          <t>Client (ADEME via plateforme)</t>
        </is>
      </c>
      <c r="P27" s="20" t="inlineStr">
        <is>
          <t>AAP annuels - BCIAT 2026 en cours</t>
        </is>
      </c>
      <c r="Q27" s="20" t="inlineStr">
        <is>
          <t>Decisions ADEME / Plan France 2030</t>
        </is>
      </c>
      <c r="R27" s="21" t="inlineStr">
        <is>
          <t>https://entreprises.ademe.fr/dispositif-aide/decarbonation-industrie</t>
        </is>
      </c>
      <c r="S27" s="20" t="inlineStr">
        <is>
          <t>Cible : nos clients industriels IDF + grandes ETI - HUARD partenaire CVC/elec sur les projets.</t>
        </is>
      </c>
      <c r="T27" s="23" t="inlineStr">
        <is>
          <t>Moyenne</t>
        </is>
      </c>
    </row>
    <row r="28" ht="95" customHeight="1">
      <c r="A28" s="16" t="n">
        <v>25</v>
      </c>
      <c r="B28" s="28" t="inlineStr">
        <is>
          <t>Financement</t>
        </is>
      </c>
      <c r="C28" s="16" t="inlineStr">
        <is>
          <t>Pret Vert Bpifrance</t>
        </is>
      </c>
      <c r="D28" s="16" t="inlineStr">
        <is>
          <t>Pret bonifie</t>
        </is>
      </c>
      <c r="E28" s="16" t="inlineStr">
        <is>
          <t>Bpifrance</t>
        </is>
      </c>
      <c r="F28" s="16" t="inlineStr">
        <is>
          <t>PME, ETI (&gt; 3 ans)</t>
        </is>
      </c>
      <c r="G28" s="16" t="inlineStr">
        <is>
          <t>ELECTRICITE / CVC</t>
        </is>
      </c>
      <c r="H28" s="16" t="inlineStr">
        <is>
          <t>Investissements transition ecologique : equipements EnR, PAC, eclairage perf, batiments perf</t>
        </is>
      </c>
      <c r="I28" s="16" t="inlineStr">
        <is>
          <t>50 000 EUR</t>
        </is>
      </c>
      <c r="J28" s="16" t="inlineStr">
        <is>
          <t>Jusqu a 15 M EUR</t>
        </is>
      </c>
      <c r="K28" s="16" t="inlineStr">
        <is>
          <t>Pret 3-10 ans - taux preferentiel - sans garantie reelle ni caution personnelle</t>
        </is>
      </c>
      <c r="L28" s="16" t="inlineStr">
        <is>
          <t>Bilan positif - projet eligible TEE - ETI ou PME</t>
        </is>
      </c>
      <c r="M28" s="16" t="inlineStr">
        <is>
          <t>N/A</t>
        </is>
      </c>
      <c r="N28" s="16" t="inlineStr">
        <is>
          <t>Aides ADEME, CEE, regions</t>
        </is>
      </c>
      <c r="O28" s="16" t="inlineStr">
        <is>
          <t>Client (Bpifrance)</t>
        </is>
      </c>
      <c r="P28" s="16" t="inlineStr">
        <is>
          <t>Guichet ouvert</t>
        </is>
      </c>
      <c r="Q28" s="16" t="inlineStr">
        <is>
          <t>Bpifrance - catalogue Pret Vert</t>
        </is>
      </c>
      <c r="R28" s="18" t="inlineStr">
        <is>
          <t>https://www.bpifrance.fr/catalogue-offres/transition-ecologique-et-energetique/pret-vert</t>
        </is>
      </c>
      <c r="S28" s="16" t="inlineStr">
        <is>
          <t>Levier financier pour gros chantiers HUARD - le client emprunte, on encaisse les travaux.</t>
        </is>
      </c>
      <c r="T28" s="19" t="inlineStr">
        <is>
          <t>Haute</t>
        </is>
      </c>
    </row>
    <row r="29" ht="95" customHeight="1">
      <c r="A29" s="20" t="n">
        <v>26</v>
      </c>
      <c r="B29" s="28" t="inlineStr">
        <is>
          <t>Financement</t>
        </is>
      </c>
      <c r="C29" s="20" t="inlineStr">
        <is>
          <t>Pret Economies d'Energie (PEE) Bpifrance/ADEME</t>
        </is>
      </c>
      <c r="D29" s="20" t="inlineStr">
        <is>
          <t>Pret bonifie</t>
        </is>
      </c>
      <c r="E29" s="20" t="inlineStr">
        <is>
          <t>Bpifrance + ADEME</t>
        </is>
      </c>
      <c r="F29" s="20" t="inlineStr">
        <is>
          <t>TPE/PME (&gt; 3 ans)</t>
        </is>
      </c>
      <c r="G29" s="20" t="inlineStr">
        <is>
          <t>ELECTRICITE / CVC</t>
        </is>
      </c>
      <c r="H29" s="20" t="inlineStr">
        <is>
          <t>Equipements eligibles CEE (eclairage LED, PAC, regulation, isolation, ECS, vehicules elec)</t>
        </is>
      </c>
      <c r="I29" s="20" t="inlineStr">
        <is>
          <t>10 000 EUR</t>
        </is>
      </c>
      <c r="J29" s="20" t="inlineStr">
        <is>
          <t>500 000 EUR (et 3M EUR EnR)</t>
        </is>
      </c>
      <c r="K29" s="20" t="inlineStr">
        <is>
          <t>Pret 3-7 ans - taux fixe bonifie</t>
        </is>
      </c>
      <c r="L29" s="20" t="inlineStr">
        <is>
          <t>PME - factures detaillees - delai 12 mois</t>
        </is>
      </c>
      <c r="M29" s="20" t="inlineStr">
        <is>
          <t>N/A</t>
        </is>
      </c>
      <c r="N29" s="20" t="inlineStr">
        <is>
          <t>Cumul CEE et autres aides</t>
        </is>
      </c>
      <c r="O29" s="20" t="inlineStr">
        <is>
          <t>Client (Bpifrance)</t>
        </is>
      </c>
      <c r="P29" s="20" t="inlineStr">
        <is>
          <t>Guichet ouvert</t>
        </is>
      </c>
      <c r="Q29" s="20" t="inlineStr">
        <is>
          <t>Bpifrance PEE</t>
        </is>
      </c>
      <c r="R29" s="21" t="inlineStr">
        <is>
          <t>https://www.bpifrance.fr/catalogue-offres/transition-ecologique-et-energetique/pret-economies-denergie</t>
        </is>
      </c>
      <c r="S29" s="20" t="inlineStr">
        <is>
          <t>Outil tres operationnel : on chiffre + on indique au client comment financer.</t>
        </is>
      </c>
      <c r="T29" s="19" t="inlineStr">
        <is>
          <t>Haute</t>
        </is>
      </c>
    </row>
    <row r="30" ht="95" customHeight="1">
      <c r="A30" s="16" t="n">
        <v>27</v>
      </c>
      <c r="B30" s="29" t="inlineStr">
        <is>
          <t>IRVE</t>
        </is>
      </c>
      <c r="C30" s="16" t="inlineStr">
        <is>
          <t>Programme ADVENIR - bornes recharge VE</t>
        </is>
      </c>
      <c r="D30" s="16" t="inlineStr">
        <is>
          <t>Programme CEE</t>
        </is>
      </c>
      <c r="E30" s="16" t="inlineStr">
        <is>
          <t>Avere-France / finance par CEE</t>
        </is>
      </c>
      <c r="F30" s="16" t="inlineStr">
        <is>
          <t>Copropriete, parkings entreprise (salaries+flottes), parkings ouverts au public, voirie, hotel/restauration, services autoroutiers</t>
        </is>
      </c>
      <c r="G30" s="16" t="inlineStr">
        <is>
          <t>ELECTRICITE</t>
        </is>
      </c>
      <c r="H30" s="16" t="inlineStr">
        <is>
          <t>Pose de bornes de recharge VE 3.7 a 350 kW, infrastructure collective copro, retrofit</t>
        </is>
      </c>
      <c r="I30" s="16" t="inlineStr">
        <is>
          <t>Variable selon categorie</t>
        </is>
      </c>
      <c r="J30" s="16" t="inlineStr">
        <is>
          <t>Plafonds 2026 : copro indiv. ~960 EUR - copro collective ~1660 EUR/point + 3000 EUR pre-equipement - parking entreprise salaries 1700 EUR - parking ouvert public 2700 EUR (standard) jusqu'a 15000 EUR (&gt;140 kW)</t>
        </is>
      </c>
      <c r="K30" s="16" t="inlineStr">
        <is>
          <t>% du HT plafonne</t>
        </is>
      </c>
      <c r="L30" s="16" t="inlineStr">
        <is>
          <t>Devis signe APRES eligibilite ADVENIR - installateur labellise Advenir - bornes labellisees</t>
        </is>
      </c>
      <c r="M30" s="16" t="inlineStr">
        <is>
          <t>IRVE (qualifelec ou equivalent niveau IRVE-2 a 3)</t>
        </is>
      </c>
      <c r="N30" s="16" t="inlineStr">
        <is>
          <t>Aides regionales, suramortissement (entreprise)</t>
        </is>
      </c>
      <c r="O30" s="16" t="inlineStr">
        <is>
          <t>Installateur (HUARD) labellise ADVENIR</t>
        </is>
      </c>
      <c r="P30" s="16" t="inlineStr">
        <is>
          <t>Programme prolonge jusqu au 31/12/2027 (sous reserve enveloppe)</t>
        </is>
      </c>
      <c r="Q30" s="16" t="inlineStr">
        <is>
          <t>Convention Avere-Etat - cahier des charges ADVENIR</t>
        </is>
      </c>
      <c r="R30" s="18" t="inlineStr">
        <is>
          <t>https://advenir.mobi</t>
        </is>
      </c>
      <c r="S30" s="16" t="inlineStr">
        <is>
          <t>Marche en explosion - HUARD doit etre installateur labellise ADVENIR. Pitch copro + entreprises avec flotte societe.</t>
        </is>
      </c>
      <c r="T30" s="22" t="inlineStr">
        <is>
          <t>Tres haute</t>
        </is>
      </c>
    </row>
    <row r="31" ht="95" customHeight="1">
      <c r="A31" s="20" t="n">
        <v>28</v>
      </c>
      <c r="B31" s="29" t="inlineStr">
        <is>
          <t>IRVE</t>
        </is>
      </c>
      <c r="C31" s="20" t="inlineStr">
        <is>
          <t>Decret tertiaire stationnement / Loi LOM - quotas bornes parkings non residentiels</t>
        </is>
      </c>
      <c r="D31" s="20" t="inlineStr">
        <is>
          <t>Obligation reglementaire</t>
        </is>
      </c>
      <c r="E31" s="20" t="inlineStr">
        <is>
          <t>Etat</t>
        </is>
      </c>
      <c r="F31" s="20" t="inlineStr">
        <is>
          <t>Proprietaires de batiments tertiaires neufs ou renoves</t>
        </is>
      </c>
      <c r="G31" s="20" t="inlineStr">
        <is>
          <t>ELECTRICITE</t>
        </is>
      </c>
      <c r="H31" s="20" t="inlineStr">
        <is>
          <t>Pre-equipement et points de recharge : seuils selon type batiment (au moins 5% places en pre-equipement neuf)</t>
        </is>
      </c>
      <c r="I31" s="20" t="inlineStr">
        <is>
          <t>N/A</t>
        </is>
      </c>
      <c r="J31" s="20" t="inlineStr">
        <is>
          <t>Sanctions reglementaires</t>
        </is>
      </c>
      <c r="K31" s="20" t="inlineStr">
        <is>
          <t>Obligation - investissement client</t>
        </is>
      </c>
      <c r="L31" s="20" t="inlineStr">
        <is>
          <t>Permis de construire deposes apres seuil - renovation lourde</t>
        </is>
      </c>
      <c r="M31" s="20" t="inlineStr">
        <is>
          <t>IRVE</t>
        </is>
      </c>
      <c r="N31" s="20" t="inlineStr">
        <is>
          <t>ADVENIR, aides regions</t>
        </is>
      </c>
      <c r="O31" s="20" t="inlineStr">
        <is>
          <t>Client</t>
        </is>
      </c>
      <c r="P31" s="20" t="inlineStr">
        <is>
          <t>En vigueur - renforcement 2025</t>
        </is>
      </c>
      <c r="Q31" s="20" t="inlineStr">
        <is>
          <t>Code de la construction CCH art. R.111-14-2 et suivants + loi LOM</t>
        </is>
      </c>
      <c r="R31" s="21" t="inlineStr">
        <is>
          <t>https://www.legifrance.gouv.fr</t>
        </is>
      </c>
      <c r="S31" s="20" t="inlineStr">
        <is>
          <t>Argument obligation pour nos clients amenageurs / promoteurs / bailleurs - aide ADVENIR cumulable.</t>
        </is>
      </c>
      <c r="T31" s="19" t="inlineStr">
        <is>
          <t>Haute</t>
        </is>
      </c>
    </row>
    <row r="32" ht="95" customHeight="1">
      <c r="A32" s="16" t="n">
        <v>29</v>
      </c>
      <c r="B32" s="30" t="inlineStr">
        <is>
          <t>Obligation reglementaire</t>
        </is>
      </c>
      <c r="C32" s="16" t="inlineStr">
        <is>
          <t>Decret Tertiaire (DEET) - reduction conso - 40% / -50% / -60%</t>
        </is>
      </c>
      <c r="D32" s="16" t="inlineStr">
        <is>
          <t>Obligation - OPALE-MAR</t>
        </is>
      </c>
      <c r="E32" s="16" t="inlineStr">
        <is>
          <t>Etat (ADEME / OPERAT)</t>
        </is>
      </c>
      <c r="F32" s="16" t="inlineStr">
        <is>
          <t>Tous batiments / proprietaires / locataires tertiaire &gt; 1000 m2</t>
        </is>
      </c>
      <c r="G32" s="16" t="inlineStr">
        <is>
          <t>ELECTRICITE / CVC / MAINTENANCE</t>
        </is>
      </c>
      <c r="H32" s="16" t="inlineStr">
        <is>
          <t>Travaux d'efficacite energetique (enveloppe, CVC, eclairage, GTB) pour atteindre les objectifs reglementaires</t>
        </is>
      </c>
      <c r="I32" s="16" t="inlineStr">
        <is>
          <t>N/A - obligation</t>
        </is>
      </c>
      <c r="J32" s="16" t="inlineStr">
        <is>
          <t>Sanctions : amende 1500 EUR particuliers, 7500 EUR personnes morales + name &amp; shame</t>
        </is>
      </c>
      <c r="K32" s="16" t="inlineStr">
        <is>
          <t>Trajectoire valeur absolue (Cabs) ou en reduction relative (Crelat)</t>
        </is>
      </c>
      <c r="L32" s="16" t="inlineStr">
        <is>
          <t>Declaration annuelle sur OPERAT - objectif 2030 atteint</t>
        </is>
      </c>
      <c r="M32" s="16" t="inlineStr">
        <is>
          <t>Audit / accompagnement par BE</t>
        </is>
      </c>
      <c r="N32" s="16" t="inlineStr">
        <is>
          <t>TOUTES aides : CEE bonifies, ADEME, regions, Bpifrance</t>
        </is>
      </c>
      <c r="O32" s="16" t="inlineStr">
        <is>
          <t>Client (avec aide BE et HUARD)</t>
        </is>
      </c>
      <c r="P32" s="16" t="inlineStr">
        <is>
          <t>Echeances : -40% en 2030, -50% en 2040, -60% en 2050</t>
        </is>
      </c>
      <c r="Q32" s="16" t="inlineStr">
        <is>
          <t>Decret 2019-771 + arrete methode 2020</t>
        </is>
      </c>
      <c r="R32" s="18" t="inlineStr">
        <is>
          <t>https://operat.ademe.fr</t>
        </is>
      </c>
      <c r="S32" s="16" t="inlineStr">
        <is>
          <t>PORTE D'ENTREE NUMERO 1 : creer un 'rendez-vous decret tertiaire' avec tous nos clients &gt; 1000 m2. Audit gratuit -&gt; plan d'actions -&gt; chantiers HUARD + financement aides.</t>
        </is>
      </c>
      <c r="T32" s="22" t="inlineStr">
        <is>
          <t>Tres haute</t>
        </is>
      </c>
    </row>
    <row r="33" ht="95" customHeight="1">
      <c r="A33" s="20" t="n">
        <v>30</v>
      </c>
      <c r="B33" s="30" t="inlineStr">
        <is>
          <t>Obligation reglementaire</t>
        </is>
      </c>
      <c r="C33" s="20" t="inlineStr">
        <is>
          <t>Decret BACS - obligation GTB</t>
        </is>
      </c>
      <c r="D33" s="20" t="inlineStr">
        <is>
          <t>Obligation reglementaire</t>
        </is>
      </c>
      <c r="E33" s="20" t="inlineStr">
        <is>
          <t>Etat</t>
        </is>
      </c>
      <c r="F33" s="20" t="inlineStr">
        <is>
          <t>Tertiaire avec systeme CVC &gt; 290 kW (existant : 01/01/2025) puis &gt; 70 kW (01/01/2027)</t>
        </is>
      </c>
      <c r="G33" s="20" t="inlineStr">
        <is>
          <t>ELECTRICITE / CVC / MAINTENANCE</t>
        </is>
      </c>
      <c r="H33" s="20" t="inlineStr">
        <is>
          <t>Installation d'un systeme de GTB classe A ou B pilotant chauffage, refroidissement, ECS, eclairage</t>
        </is>
      </c>
      <c r="I33" s="20" t="inlineStr">
        <is>
          <t>N/A - obligation</t>
        </is>
      </c>
      <c r="J33" s="20" t="inlineStr">
        <is>
          <t>Sanctions reglementaires</t>
        </is>
      </c>
      <c r="K33" s="20" t="inlineStr">
        <is>
          <t>Obligation</t>
        </is>
      </c>
      <c r="L33" s="20" t="inlineStr">
        <is>
          <t>Echeance 01/01/2025 (&gt;290 kW) - 01/01/2027 (&gt;70 kW)</t>
        </is>
      </c>
      <c r="M33" s="20" t="inlineStr">
        <is>
          <t>Aucune RGE</t>
        </is>
      </c>
      <c r="N33" s="20" t="inlineStr">
        <is>
          <t>CEE BAT-TH-116 (bonifie), ADEME ACTEE</t>
        </is>
      </c>
      <c r="O33" s="20" t="inlineStr">
        <is>
          <t>Client</t>
        </is>
      </c>
      <c r="P33" s="20" t="inlineStr">
        <is>
          <t>Echeance imperative</t>
        </is>
      </c>
      <c r="Q33" s="20" t="inlineStr">
        <is>
          <t>Decret n 2020-887 + arrete 02/06/2021</t>
        </is>
      </c>
      <c r="R33" s="21" t="inlineStr">
        <is>
          <t>https://www.ecologie.gouv.fr/decret-bacs</t>
        </is>
      </c>
      <c r="S33" s="20" t="inlineStr">
        <is>
          <t>Marche oblige - prospection systematique tous clients tertiaire avec puissance CVC concernee.</t>
        </is>
      </c>
      <c r="T33" s="22" t="inlineStr">
        <is>
          <t>Tres haute</t>
        </is>
      </c>
    </row>
    <row r="34" ht="95" customHeight="1">
      <c r="A34" s="16" t="n">
        <v>31</v>
      </c>
      <c r="B34" s="31" t="inlineStr">
        <is>
          <t>Region IDF</t>
        </is>
      </c>
      <c r="C34" s="16" t="inlineStr">
        <is>
          <t>Aide regionale - efficacite energetique batiments des entreprises</t>
        </is>
      </c>
      <c r="D34" s="16" t="inlineStr">
        <is>
          <t>Subvention</t>
        </is>
      </c>
      <c r="E34" s="16" t="inlineStr">
        <is>
          <t>Region Ile-de-France</t>
        </is>
      </c>
      <c r="F34" s="16" t="inlineStr">
        <is>
          <t>PME et ETI franciliennes</t>
        </is>
      </c>
      <c r="G34" s="16" t="inlineStr">
        <is>
          <t>ELECTRICITE / CVC</t>
        </is>
      </c>
      <c r="H34" s="16" t="inlineStr">
        <is>
          <t>Audit, travaux d'efficacite, equipements EnR sur sites en IDF</t>
        </is>
      </c>
      <c r="I34" s="16" t="inlineStr">
        <is>
          <t>Variable selon AAP</t>
        </is>
      </c>
      <c r="J34" s="16" t="inlineStr">
        <is>
          <t>Plafond 200000 EUR (regime de minimis)</t>
        </is>
      </c>
      <c r="K34" s="16" t="inlineStr">
        <is>
          <t>Taux selon taille entreprise et type</t>
        </is>
      </c>
      <c r="L34" s="16" t="inlineStr">
        <is>
          <t>PME/ETI IDF - investissement en IDF</t>
        </is>
      </c>
      <c r="M34" s="16" t="inlineStr">
        <is>
          <t>BE qualifie</t>
        </is>
      </c>
      <c r="N34" s="16" t="inlineStr">
        <is>
          <t>Cumul CEE, ADEME, Bpifrance (regle de minimis)</t>
        </is>
      </c>
      <c r="O34" s="16" t="inlineStr">
        <is>
          <t>Client</t>
        </is>
      </c>
      <c r="P34" s="16" t="inlineStr">
        <is>
          <t>AAP regionaux annuels</t>
        </is>
      </c>
      <c r="Q34" s="16" t="inlineStr">
        <is>
          <t>Deliberations CR IDF</t>
        </is>
      </c>
      <c r="R34" s="18" t="inlineStr">
        <is>
          <t>https://www.iledefrance.fr/aides-services/transition-energetique</t>
        </is>
      </c>
      <c r="S34" s="16" t="inlineStr">
        <is>
          <t>Argument 'aide regionale dans votre territoire' - facilite cloture du dossier.</t>
        </is>
      </c>
      <c r="T34" s="23" t="inlineStr">
        <is>
          <t>Moyenne</t>
        </is>
      </c>
    </row>
    <row r="35" ht="95" customHeight="1">
      <c r="A35" s="20" t="n">
        <v>32</v>
      </c>
      <c r="B35" s="31" t="inlineStr">
        <is>
          <t>Region IDF</t>
        </is>
      </c>
      <c r="C35" s="20" t="inlineStr">
        <is>
          <t>Energies POSIT'IF - tiers-financement copropriete</t>
        </is>
      </c>
      <c r="D35" s="20" t="inlineStr">
        <is>
          <t>Tiers-financement / Pret</t>
        </is>
      </c>
      <c r="E35" s="20" t="inlineStr">
        <is>
          <t>SEM Energies POSIT'IF (Region IDF)</t>
        </is>
      </c>
      <c r="F35" s="20" t="inlineStr">
        <is>
          <t>Coproprietes franciliennes</t>
        </is>
      </c>
      <c r="G35" s="20" t="inlineStr">
        <is>
          <t>CVC / ELECTRICITE</t>
        </is>
      </c>
      <c r="H35" s="20" t="inlineStr">
        <is>
          <t>Renovation energetique globale copro : enveloppe, CVC, ECS, eclairage commun</t>
        </is>
      </c>
      <c r="I35" s="20" t="inlineStr">
        <is>
          <t>Variable</t>
        </is>
      </c>
      <c r="J35" s="20" t="inlineStr">
        <is>
          <t>Selon projet (M EUR)</t>
        </is>
      </c>
      <c r="K35" s="20" t="inlineStr">
        <is>
          <t>Tiers-financement integral ou partiel</t>
        </is>
      </c>
      <c r="L35" s="20" t="inlineStr">
        <is>
          <t>Vote AG copro - audit</t>
        </is>
      </c>
      <c r="M35" s="20" t="inlineStr">
        <is>
          <t>BE qualifie / MOE</t>
        </is>
      </c>
      <c r="N35" s="20" t="inlineStr">
        <is>
          <t>Cumul MaPrimeRenov Copro, CEE, regions</t>
        </is>
      </c>
      <c r="O35" s="20" t="inlineStr">
        <is>
          <t>Syndic + Energies POSIT'IF</t>
        </is>
      </c>
      <c r="P35" s="20" t="inlineStr">
        <is>
          <t>Service permanent</t>
        </is>
      </c>
      <c r="Q35" s="20" t="inlineStr">
        <is>
          <t>Statuts SEM Energies POSIT'IF</t>
        </is>
      </c>
      <c r="R35" s="21" t="inlineStr">
        <is>
          <t>https://www.energiespositif.fr</t>
        </is>
      </c>
      <c r="S35" s="20" t="inlineStr">
        <is>
          <t>Levier majeur copro IDF - HUARD se positionne comme entreprise de travaux dans les groupements.</t>
        </is>
      </c>
      <c r="T35" s="19" t="inlineStr">
        <is>
          <t>Haute</t>
        </is>
      </c>
    </row>
    <row r="36" ht="95" customHeight="1">
      <c r="A36" s="16" t="n">
        <v>33</v>
      </c>
      <c r="B36" s="31" t="inlineStr">
        <is>
          <t>Region IDF</t>
        </is>
      </c>
      <c r="C36" s="16" t="inlineStr">
        <is>
          <t>Plan SESAME / aides Region IDF developpement economique vert</t>
        </is>
      </c>
      <c r="D36" s="16" t="inlineStr">
        <is>
          <t>Subvention</t>
        </is>
      </c>
      <c r="E36" s="16" t="inlineStr">
        <is>
          <t>Region IDF / Bpifrance</t>
        </is>
      </c>
      <c r="F36" s="16" t="inlineStr">
        <is>
          <t>PME franciliennes</t>
        </is>
      </c>
      <c r="G36" s="16" t="inlineStr">
        <is>
          <t>ELECTRICITE / CVC / MAINTENANCE</t>
        </is>
      </c>
      <c r="H36" s="16" t="inlineStr">
        <is>
          <t>Investissements lies a la transition energetique des sites de production</t>
        </is>
      </c>
      <c r="I36" s="16" t="inlineStr">
        <is>
          <t>Variable</t>
        </is>
      </c>
      <c r="J36" s="16" t="inlineStr">
        <is>
          <t>Plafond regime aide d'Etat</t>
        </is>
      </c>
      <c r="K36" s="16" t="inlineStr">
        <is>
          <t>Aide en EUR - taux selon programme</t>
        </is>
      </c>
      <c r="L36" s="16" t="inlineStr">
        <is>
          <t>PME IDF - investissement en IDF</t>
        </is>
      </c>
      <c r="M36" s="16" t="inlineStr">
        <is>
          <t>Variable</t>
        </is>
      </c>
      <c r="N36" s="16" t="inlineStr">
        <is>
          <t>Cumul ADEME / Bpifrance / CEE</t>
        </is>
      </c>
      <c r="O36" s="16" t="inlineStr">
        <is>
          <t>Client</t>
        </is>
      </c>
      <c r="P36" s="16" t="inlineStr">
        <is>
          <t>AAP recurrents</t>
        </is>
      </c>
      <c r="Q36" s="16" t="inlineStr">
        <is>
          <t>Deliberations CR IDF / convention Bpifrance</t>
        </is>
      </c>
      <c r="R36" s="18" t="inlineStr">
        <is>
          <t>https://www.iledefrance.fr</t>
        </is>
      </c>
      <c r="S36" s="16" t="inlineStr">
        <is>
          <t>Activer le partenariat Bpifrance HUARD pour orienter les clients.</t>
        </is>
      </c>
      <c r="T36" s="23" t="inlineStr">
        <is>
          <t>Moyenne</t>
        </is>
      </c>
    </row>
    <row r="37" ht="95" customHeight="1">
      <c r="A37" s="20" t="n">
        <v>34</v>
      </c>
      <c r="B37" s="31" t="inlineStr">
        <is>
          <t>Metropole / IDF</t>
        </is>
      </c>
      <c r="C37" s="20" t="inlineStr">
        <is>
          <t>Metropole du Grand Paris - Fonds d'investissement metropolitain</t>
        </is>
      </c>
      <c r="D37" s="20" t="inlineStr">
        <is>
          <t>Subvention</t>
        </is>
      </c>
      <c r="E37" s="20" t="inlineStr">
        <is>
          <t>Metropole du Grand Paris</t>
        </is>
      </c>
      <c r="F37" s="20" t="inlineStr">
        <is>
          <t>Communes et EPT du Grand Paris</t>
        </is>
      </c>
      <c r="G37" s="20" t="inlineStr">
        <is>
          <t>ELECTRICITE / CVC</t>
        </is>
      </c>
      <c r="H37" s="20" t="inlineStr">
        <is>
          <t>Equipements publics - efficacite energetique, EnR, eclairage public, IRVE</t>
        </is>
      </c>
      <c r="I37" s="20" t="inlineStr">
        <is>
          <t>Variable</t>
        </is>
      </c>
      <c r="J37" s="20" t="inlineStr">
        <is>
          <t>Plafonds par operation</t>
        </is>
      </c>
      <c r="K37" s="20" t="inlineStr">
        <is>
          <t>Subvention</t>
        </is>
      </c>
      <c r="L37" s="20" t="inlineStr">
        <is>
          <t>Projet sur territoire MGP</t>
        </is>
      </c>
      <c r="M37" s="20" t="inlineStr">
        <is>
          <t>Variable</t>
        </is>
      </c>
      <c r="N37" s="20" t="inlineStr">
        <is>
          <t>Cumul programme ACTEE, CEE</t>
        </is>
      </c>
      <c r="O37" s="20" t="inlineStr">
        <is>
          <t>Collectivite</t>
        </is>
      </c>
      <c r="P37" s="20" t="inlineStr">
        <is>
          <t>AAP annuels MGP</t>
        </is>
      </c>
      <c r="Q37" s="20" t="inlineStr">
        <is>
          <t>Deliberations MGP</t>
        </is>
      </c>
      <c r="R37" s="21" t="inlineStr">
        <is>
          <t>https://www.metropolegrandparis.fr</t>
        </is>
      </c>
      <c r="S37" s="20" t="inlineStr">
        <is>
          <t>Cible directe : marches publics MGP - veille AAP a tenir mensuellement.</t>
        </is>
      </c>
      <c r="T37" s="23" t="inlineStr">
        <is>
          <t>Moyenne</t>
        </is>
      </c>
    </row>
    <row r="38" ht="95" customHeight="1">
      <c r="A38" s="16" t="n">
        <v>35</v>
      </c>
      <c r="B38" s="32" t="inlineStr">
        <is>
          <t>Residentiel / Copropriete</t>
        </is>
      </c>
      <c r="C38" s="16" t="inlineStr">
        <is>
          <t>MaPrimeRenov' Copropriete</t>
        </is>
      </c>
      <c r="D38" s="16" t="inlineStr">
        <is>
          <t>Prime</t>
        </is>
      </c>
      <c r="E38" s="16" t="inlineStr">
        <is>
          <t>Anah</t>
        </is>
      </c>
      <c r="F38" s="16" t="inlineStr">
        <is>
          <t>Coproprietes (syndicat des coproprietaires)</t>
        </is>
      </c>
      <c r="G38" s="16" t="inlineStr">
        <is>
          <t>ELECTRICITE / CVC</t>
        </is>
      </c>
      <c r="H38" s="16" t="inlineStr">
        <is>
          <t>Renovation globale : isolation, chauffage collectif, ventilation, ECS, eclairage commun, IRVE collective</t>
        </is>
      </c>
      <c r="I38" s="16" t="inlineStr">
        <is>
          <t>Gains 35% mini (geste copro)</t>
        </is>
      </c>
      <c r="J38" s="16" t="inlineStr">
        <is>
          <t>Jusqu a 25% du cout HT plafonne (geste +15% si gain &gt;= 50%) + bonus sortie passoire / BBC</t>
        </is>
      </c>
      <c r="K38" s="16" t="inlineStr">
        <is>
          <t>% des couts HT plafonne par logement</t>
        </is>
      </c>
      <c r="L38" s="16" t="inlineStr">
        <is>
          <t>Audit prealable - vote AG - &gt;= 75% lots residentiels</t>
        </is>
      </c>
      <c r="M38" s="16" t="inlineStr">
        <is>
          <t>Mandataire MAR (Mon Accompagnateur Renov) + RGE pour entreprises</t>
        </is>
      </c>
      <c r="N38" s="16" t="inlineStr">
        <is>
          <t>Cumul CEE, Eco-PTZ copro, regions, Energies POSIT'IF</t>
        </is>
      </c>
      <c r="O38" s="16" t="inlineStr">
        <is>
          <t>Syndic + mandataire</t>
        </is>
      </c>
      <c r="P38" s="16" t="inlineStr">
        <is>
          <t>Dispositif perenne - baremes 2026</t>
        </is>
      </c>
      <c r="Q38" s="16" t="inlineStr">
        <is>
          <t>Decret MPR Copro 2024</t>
        </is>
      </c>
      <c r="R38" s="18" t="inlineStr">
        <is>
          <t>https://france-renov.gouv.fr/aides/mpr</t>
        </is>
      </c>
      <c r="S38" s="16" t="inlineStr">
        <is>
          <t>Marche copro = recurrent fort en IDF. HUARD se positionne sur chauffage collectif + eclairage parties communes + IRVE.</t>
        </is>
      </c>
      <c r="T38" s="22" t="inlineStr">
        <is>
          <t>Tres haute</t>
        </is>
      </c>
    </row>
    <row r="39" ht="95" customHeight="1">
      <c r="A39" s="20" t="n">
        <v>36</v>
      </c>
      <c r="B39" s="32" t="inlineStr">
        <is>
          <t>Residentiel</t>
        </is>
      </c>
      <c r="C39" s="20" t="inlineStr">
        <is>
          <t>MaPrimeRenov' - parcours par geste et accompagne</t>
        </is>
      </c>
      <c r="D39" s="20" t="inlineStr">
        <is>
          <t>Prime</t>
        </is>
      </c>
      <c r="E39" s="20" t="inlineStr">
        <is>
          <t>Anah</t>
        </is>
      </c>
      <c r="F39" s="20" t="inlineStr">
        <is>
          <t>Proprietaires occupants et bailleurs (logements &gt; 15 ans)</t>
        </is>
      </c>
      <c r="G39" s="20" t="inlineStr">
        <is>
          <t>CVC / ELECTRICITE</t>
        </is>
      </c>
      <c r="H39" s="20" t="inlineStr">
        <is>
          <t>PAC, chaudieres biomasse, ventilation, isolation, audit - parcours accompagne avec MAR pour gains &gt;= 35%</t>
        </is>
      </c>
      <c r="I39" s="20" t="inlineStr">
        <is>
          <t>Quelques centaines EUR (geste)</t>
        </is>
      </c>
      <c r="J39" s="20" t="inlineStr">
        <is>
          <t>Jusqu a 70000 EUR (renovation d'ampleur tres modeste)</t>
        </is>
      </c>
      <c r="K39" s="20" t="inlineStr">
        <is>
          <t>Forfait par geste OU % des couts en parcours accompagne (jusqu'a 90% modeste, 80% tres modeste)</t>
        </is>
      </c>
      <c r="L39" s="20" t="inlineStr">
        <is>
          <t>Logement &gt; 15 ans, residence principale</t>
        </is>
      </c>
      <c r="M39" s="20" t="inlineStr">
        <is>
          <t>RGE obligatoire</t>
        </is>
      </c>
      <c r="N39" s="20" t="inlineStr">
        <is>
          <t>Cumul CEE, Eco-PTZ, regions, TVA 5,5%</t>
        </is>
      </c>
      <c r="O39" s="20" t="inlineStr">
        <is>
          <t>Particulier (avec MAR si accompagne)</t>
        </is>
      </c>
      <c r="P39" s="20" t="inlineStr">
        <is>
          <t>Dispositif perenne</t>
        </is>
      </c>
      <c r="Q39" s="20" t="inlineStr">
        <is>
          <t>Decrets MPR annuels</t>
        </is>
      </c>
      <c r="R39" s="21" t="inlineStr">
        <is>
          <t>https://france-renov.gouv.fr</t>
        </is>
      </c>
      <c r="S39" s="20" t="inlineStr">
        <is>
          <t>Pour particuliers HUARD : remplacement chaudiere par PAC, audit, accompagnement complet.</t>
        </is>
      </c>
      <c r="T39" s="19" t="inlineStr">
        <is>
          <t>Haute</t>
        </is>
      </c>
    </row>
    <row r="40" ht="95" customHeight="1">
      <c r="A40" s="16" t="n">
        <v>37</v>
      </c>
      <c r="B40" s="32" t="inlineStr">
        <is>
          <t>Residentiel</t>
        </is>
      </c>
      <c r="C40" s="16" t="inlineStr">
        <is>
          <t>Eco-PTZ - Eco-pret a taux zero</t>
        </is>
      </c>
      <c r="D40" s="16" t="inlineStr">
        <is>
          <t>Pret a taux zero</t>
        </is>
      </c>
      <c r="E40" s="16" t="inlineStr">
        <is>
          <t>Etat (banques partenaires)</t>
        </is>
      </c>
      <c r="F40" s="16" t="inlineStr">
        <is>
          <t>Particuliers, coproprietes (eco-PTZ copro)</t>
        </is>
      </c>
      <c r="G40" s="16" t="inlineStr">
        <is>
          <t>ELECTRICITE / CVC</t>
        </is>
      </c>
      <c r="H40" s="16" t="inlineStr">
        <is>
          <t>Bouquet de travaux d'efficacite energetique ou geste unique RGE</t>
        </is>
      </c>
      <c r="I40" s="16" t="inlineStr">
        <is>
          <t>7000 EUR (geste simple)</t>
        </is>
      </c>
      <c r="J40" s="16" t="inlineStr">
        <is>
          <t>50000 EUR (renovation globale - depuis 2022)</t>
        </is>
      </c>
      <c r="K40" s="16" t="inlineStr">
        <is>
          <t>Pret amortissable jusqu a 20 ans - 0% interet</t>
        </is>
      </c>
      <c r="L40" s="16" t="inlineStr">
        <is>
          <t>Logement &gt; 2 ans - residence principale - RGE</t>
        </is>
      </c>
      <c r="M40" s="16" t="inlineStr">
        <is>
          <t>RGE obligatoire</t>
        </is>
      </c>
      <c r="N40" s="16" t="inlineStr">
        <is>
          <t>Cumul MaPrimeRenov, CEE, regions</t>
        </is>
      </c>
      <c r="O40" s="16" t="inlineStr">
        <is>
          <t>Particulier / syndic via banque</t>
        </is>
      </c>
      <c r="P40" s="16" t="inlineStr">
        <is>
          <t>Prolonge jusque 31/12/2027</t>
        </is>
      </c>
      <c r="Q40" s="16" t="inlineStr">
        <is>
          <t>Art. 244 quater U du CGI</t>
        </is>
      </c>
      <c r="R40" s="18" t="inlineStr">
        <is>
          <t>https://france-renov.gouv.fr/aides/eco-ptz</t>
        </is>
      </c>
      <c r="S40" s="16" t="inlineStr">
        <is>
          <t>Argument financement zero apport - lever objection 'pas de tresorerie'.</t>
        </is>
      </c>
      <c r="T40" s="23" t="inlineStr">
        <is>
          <t>Moyenne</t>
        </is>
      </c>
    </row>
    <row r="41" ht="95" customHeight="1">
      <c r="A41" s="20" t="n">
        <v>38</v>
      </c>
      <c r="B41" s="32" t="inlineStr">
        <is>
          <t>Residentiel</t>
        </is>
      </c>
      <c r="C41" s="20" t="inlineStr">
        <is>
          <t>TVA reduite 5,5% travaux renovation energetique</t>
        </is>
      </c>
      <c r="D41" s="20" t="inlineStr">
        <is>
          <t>TVA reduite</t>
        </is>
      </c>
      <c r="E41" s="20" t="inlineStr">
        <is>
          <t>Etat</t>
        </is>
      </c>
      <c r="F41" s="20" t="inlineStr">
        <is>
          <t>Particuliers, bailleurs, coprietes pour travaux dans logements &gt; 2 ans</t>
        </is>
      </c>
      <c r="G41" s="20" t="inlineStr">
        <is>
          <t>ELECTRICITE / CVC</t>
        </is>
      </c>
      <c r="H41" s="20" t="inlineStr">
        <is>
          <t>Travaux d'amelioration energetique + travaux induits indissociables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TVA 5,5% au lieu de 20% sur main d'oeuvre + materiel</t>
        </is>
      </c>
      <c r="L41" s="20" t="inlineStr">
        <is>
          <t>Logement &gt; 2 ans, residence principale ou secondaire - attestation client</t>
        </is>
      </c>
      <c r="M41" s="20" t="inlineStr">
        <is>
          <t>RGE</t>
        </is>
      </c>
      <c r="N41" s="20" t="inlineStr">
        <is>
          <t>Cumul integral</t>
        </is>
      </c>
      <c r="O41" s="20" t="inlineStr">
        <is>
          <t>HUARD facture directement</t>
        </is>
      </c>
      <c r="P41" s="20" t="inlineStr">
        <is>
          <t>Permanent</t>
        </is>
      </c>
      <c r="Q41" s="20" t="inlineStr">
        <is>
          <t>Art. 278-0 bis A du CGI</t>
        </is>
      </c>
      <c r="R41" s="21" t="inlineStr">
        <is>
          <t>https://www.economie.gouv.fr/particuliers/taux-tva-renovation-logement</t>
        </is>
      </c>
      <c r="S41" s="20" t="inlineStr">
        <is>
          <t>Reflexe systematique sur tous devis particuliers - 14,5 points de marge effective.</t>
        </is>
      </c>
      <c r="T41" s="19" t="inlineStr">
        <is>
          <t>Haute</t>
        </is>
      </c>
    </row>
    <row r="42" ht="95" customHeight="1">
      <c r="A42" s="16" t="n">
        <v>39</v>
      </c>
      <c r="B42" s="32" t="inlineStr">
        <is>
          <t>Residentiel</t>
        </is>
      </c>
      <c r="C42" s="16" t="inlineStr">
        <is>
          <t>TVA 10% - travaux amelioration / amenagement logement &gt; 2 ans</t>
        </is>
      </c>
      <c r="D42" s="16" t="inlineStr">
        <is>
          <t>TVA reduite</t>
        </is>
      </c>
      <c r="E42" s="16" t="inlineStr">
        <is>
          <t>Etat</t>
        </is>
      </c>
      <c r="F42" s="16" t="inlineStr">
        <is>
          <t>Particuliers, bailleurs</t>
        </is>
      </c>
      <c r="G42" s="16" t="inlineStr">
        <is>
          <t>ELECTRICITE / CVC / MAINTENANCE</t>
        </is>
      </c>
      <c r="H42" s="16" t="inlineStr">
        <is>
          <t>Travaux non eligibles 5,5% mais d'amelioration / transformation / amenagement</t>
        </is>
      </c>
      <c r="I42" s="16" t="inlineStr">
        <is>
          <t>N/A</t>
        </is>
      </c>
      <c r="J42" s="16" t="inlineStr">
        <is>
          <t>N/A</t>
        </is>
      </c>
      <c r="K42" s="16" t="inlineStr">
        <is>
          <t>TVA 10%</t>
        </is>
      </c>
      <c r="L42" s="16" t="inlineStr">
        <is>
          <t>Logement &gt; 2 ans - attestation client</t>
        </is>
      </c>
      <c r="M42" s="16" t="inlineStr">
        <is>
          <t>Aucune</t>
        </is>
      </c>
      <c r="N42" s="16" t="inlineStr">
        <is>
          <t>Cumul integral</t>
        </is>
      </c>
      <c r="O42" s="16" t="inlineStr">
        <is>
          <t>HUARD facture</t>
        </is>
      </c>
      <c r="P42" s="16" t="inlineStr">
        <is>
          <t>Permanent</t>
        </is>
      </c>
      <c r="Q42" s="16" t="inlineStr">
        <is>
          <t>Art. 279-0 bis CGI</t>
        </is>
      </c>
      <c r="R42" s="18" t="inlineStr">
        <is>
          <t>https://www.economie.gouv.fr/particuliers/taux-tva-renovation-logement</t>
        </is>
      </c>
      <c r="S42" s="16" t="inlineStr">
        <is>
          <t>Reflexe systematique - bien distinguer 5,5% / 10% selon nature.</t>
        </is>
      </c>
      <c r="T42" s="19" t="inlineStr">
        <is>
          <t>Haute</t>
        </is>
      </c>
    </row>
    <row r="43" ht="95" customHeight="1">
      <c r="A43" s="20" t="n">
        <v>40</v>
      </c>
      <c r="B43" s="33" t="inlineStr">
        <is>
          <t>Programme</t>
        </is>
      </c>
      <c r="C43" s="20" t="inlineStr">
        <is>
          <t>PRO-SMEn - aide certification ISO 50001</t>
        </is>
      </c>
      <c r="D43" s="20" t="inlineStr">
        <is>
          <t>Subvention forfaitaire</t>
        </is>
      </c>
      <c r="E43" s="20" t="inlineStr">
        <is>
          <t>ATEE - finance par CEE</t>
        </is>
      </c>
      <c r="F43" s="20" t="inlineStr">
        <is>
          <t>Entreprises certifiees ISO 50001</t>
        </is>
      </c>
      <c r="G43" s="20" t="inlineStr">
        <is>
          <t>MAINTENANCE / CVC</t>
        </is>
      </c>
      <c r="H43" s="20" t="inlineStr">
        <is>
          <t>Aide au cout de certification du systeme de management de l'energie</t>
        </is>
      </c>
      <c r="I43" s="20" t="inlineStr">
        <is>
          <t>20% du CA energie n-1</t>
        </is>
      </c>
      <c r="J43" s="20" t="inlineStr">
        <is>
          <t>40000 EUR (PME) / 100000 EUR (au-dela)</t>
        </is>
      </c>
      <c r="K43" s="20" t="inlineStr">
        <is>
          <t>Forfait base sur facture energie</t>
        </is>
      </c>
      <c r="L43" s="20" t="inlineStr">
        <is>
          <t>Certification ISO 50001 obtenue - depot dans les 12 mois</t>
        </is>
      </c>
      <c r="M43" s="20" t="inlineStr">
        <is>
          <t>Auditeur ISO 50001</t>
        </is>
      </c>
      <c r="N43" s="20" t="inlineStr">
        <is>
          <t>Cumul autres aides</t>
        </is>
      </c>
      <c r="O43" s="20" t="inlineStr">
        <is>
          <t>Client (ATEE)</t>
        </is>
      </c>
      <c r="P43" s="20" t="inlineStr">
        <is>
          <t>Programme en cours</t>
        </is>
      </c>
      <c r="Q43" s="20" t="inlineStr">
        <is>
          <t>Convention ATEE-Etat</t>
        </is>
      </c>
      <c r="R43" s="21" t="inlineStr">
        <is>
          <t>https://www.pro-smen.org</t>
        </is>
      </c>
      <c r="S43" s="20" t="inlineStr">
        <is>
          <t>Pour clients industriels - on les accompagne sur le volet metier energetique.</t>
        </is>
      </c>
      <c r="T43" s="34" t="inlineStr">
        <is>
          <t>Faible</t>
        </is>
      </c>
    </row>
    <row r="44" ht="95" customHeight="1">
      <c r="A44" s="16" t="n">
        <v>41</v>
      </c>
      <c r="B44" s="33" t="inlineStr">
        <is>
          <t>Programme</t>
        </is>
      </c>
      <c r="C44" s="16" t="inlineStr">
        <is>
          <t>PROFEEL - performance energetique batiment</t>
        </is>
      </c>
      <c r="D44" s="16" t="inlineStr">
        <is>
          <t>Programme CEE</t>
        </is>
      </c>
      <c r="E44" s="16" t="inlineStr">
        <is>
          <t>AQC + filiere - CEE</t>
        </is>
      </c>
      <c r="F44" s="16" t="inlineStr">
        <is>
          <t>Professionnels, MO public/prive</t>
        </is>
      </c>
      <c r="G44" s="16" t="inlineStr">
        <is>
          <t>ELECTRICITE / CVC</t>
        </is>
      </c>
      <c r="H44" s="16" t="inlineStr">
        <is>
          <t>Outils, methodes, formations sur performance batiment</t>
        </is>
      </c>
      <c r="I44" s="16" t="inlineStr">
        <is>
          <t>Outils gratuits</t>
        </is>
      </c>
      <c r="J44" s="16" t="inlineStr">
        <is>
          <t>N/A</t>
        </is>
      </c>
      <c r="K44" s="16" t="inlineStr">
        <is>
          <t>N/A - mise a disposition outils</t>
        </is>
      </c>
      <c r="L44" s="16" t="inlineStr">
        <is>
          <t>Acces ouvert</t>
        </is>
      </c>
      <c r="M44" s="16" t="inlineStr">
        <is>
          <t>N/A</t>
        </is>
      </c>
      <c r="N44" s="16" t="inlineStr">
        <is>
          <t>N/A</t>
        </is>
      </c>
      <c r="O44" s="16" t="inlineStr">
        <is>
          <t>N/A</t>
        </is>
      </c>
      <c r="P44" s="16" t="inlineStr">
        <is>
          <t>Programme en cours</t>
        </is>
      </c>
      <c r="Q44" s="16" t="inlineStr">
        <is>
          <t>Convention AQC</t>
        </is>
      </c>
      <c r="R44" s="18" t="inlineStr">
        <is>
          <t>https://programmeprofeel.fr</t>
        </is>
      </c>
      <c r="S44" s="16" t="inlineStr">
        <is>
          <t>Utiliser les outils PROFEEL pour fiabiliser les devis et arguments techniques.</t>
        </is>
      </c>
      <c r="T44" s="34" t="inlineStr">
        <is>
          <t>Faible</t>
        </is>
      </c>
    </row>
    <row r="45" ht="95" customHeight="1">
      <c r="A45" s="20" t="n">
        <v>42</v>
      </c>
      <c r="B45" s="33" t="inlineStr">
        <is>
          <t>Programme</t>
        </is>
      </c>
      <c r="C45" s="20" t="inlineStr">
        <is>
          <t>Boost'Eco / dispositifs Conseillers en energie partages</t>
        </is>
      </c>
      <c r="D45" s="20" t="inlineStr">
        <is>
          <t>Programme CEE</t>
        </is>
      </c>
      <c r="E45" s="20" t="inlineStr">
        <is>
          <t>FNCCR / collectivites</t>
        </is>
      </c>
      <c r="F45" s="20" t="inlineStr">
        <is>
          <t>Petites communes, EPCI</t>
        </is>
      </c>
      <c r="G45" s="20" t="inlineStr">
        <is>
          <t>ELECTRICITE / CVC</t>
        </is>
      </c>
      <c r="H45" s="20" t="inlineStr">
        <is>
          <t>Conseiller en energie mutualise pour gerer le patrimoine batimentaire public</t>
        </is>
      </c>
      <c r="I45" s="20" t="inlineStr">
        <is>
          <t>Co-finance</t>
        </is>
      </c>
      <c r="J45" s="20" t="inlineStr">
        <is>
          <t>N/A</t>
        </is>
      </c>
      <c r="K45" s="20" t="inlineStr">
        <is>
          <t>Variable selon convention</t>
        </is>
      </c>
      <c r="L45" s="20" t="inlineStr">
        <is>
          <t>Convention avec syndicat departemental</t>
        </is>
      </c>
      <c r="M45" s="20" t="inlineStr">
        <is>
          <t>N/A</t>
        </is>
      </c>
      <c r="N45" s="20" t="inlineStr">
        <is>
          <t>Cumul ACTEE</t>
        </is>
      </c>
      <c r="O45" s="20" t="inlineStr">
        <is>
          <t>Collectivite</t>
        </is>
      </c>
      <c r="P45" s="20" t="inlineStr">
        <is>
          <t>Programme en cours</t>
        </is>
      </c>
      <c r="Q45" s="20" t="inlineStr">
        <is>
          <t>Convention FNCCR-CEE</t>
        </is>
      </c>
      <c r="R45" s="21" t="inlineStr">
        <is>
          <t>https://www.fnccr.asso.fr</t>
        </is>
      </c>
      <c r="S45" s="20" t="inlineStr">
        <is>
          <t>Levier indirect : les conseillers prescrivent souvent les travaux HUARD.</t>
        </is>
      </c>
      <c r="T45" s="34" t="inlineStr">
        <is>
          <t>Faible</t>
        </is>
      </c>
    </row>
  </sheetData>
  <autoFilter ref="A3:T45"/>
  <mergeCells count="2">
    <mergeCell ref="A1:T1"/>
    <mergeCell ref="A2:T2"/>
  </mergeCells>
  <hyperlinks>
    <hyperlink xmlns:r="http://schemas.openxmlformats.org/officeDocument/2006/relationships" ref="R4" r:id="rId1"/>
    <hyperlink xmlns:r="http://schemas.openxmlformats.org/officeDocument/2006/relationships" ref="R5" r:id="rId2"/>
    <hyperlink xmlns:r="http://schemas.openxmlformats.org/officeDocument/2006/relationships" ref="R6" r:id="rId3"/>
    <hyperlink xmlns:r="http://schemas.openxmlformats.org/officeDocument/2006/relationships" ref="R7" r:id="rId4"/>
    <hyperlink xmlns:r="http://schemas.openxmlformats.org/officeDocument/2006/relationships" ref="R8" r:id="rId5"/>
    <hyperlink xmlns:r="http://schemas.openxmlformats.org/officeDocument/2006/relationships" ref="R9" r:id="rId6"/>
    <hyperlink xmlns:r="http://schemas.openxmlformats.org/officeDocument/2006/relationships" ref="R10" r:id="rId7"/>
    <hyperlink xmlns:r="http://schemas.openxmlformats.org/officeDocument/2006/relationships" ref="R11" r:id="rId8"/>
    <hyperlink xmlns:r="http://schemas.openxmlformats.org/officeDocument/2006/relationships" ref="R12" r:id="rId9"/>
    <hyperlink xmlns:r="http://schemas.openxmlformats.org/officeDocument/2006/relationships" ref="R13" r:id="rId10"/>
    <hyperlink xmlns:r="http://schemas.openxmlformats.org/officeDocument/2006/relationships" ref="R14" r:id="rId11"/>
    <hyperlink xmlns:r="http://schemas.openxmlformats.org/officeDocument/2006/relationships" ref="R15" r:id="rId12"/>
    <hyperlink xmlns:r="http://schemas.openxmlformats.org/officeDocument/2006/relationships" ref="R16" r:id="rId13"/>
    <hyperlink xmlns:r="http://schemas.openxmlformats.org/officeDocument/2006/relationships" ref="R17" r:id="rId14"/>
    <hyperlink xmlns:r="http://schemas.openxmlformats.org/officeDocument/2006/relationships" ref="R18" r:id="rId15"/>
    <hyperlink xmlns:r="http://schemas.openxmlformats.org/officeDocument/2006/relationships" ref="R19" r:id="rId16"/>
    <hyperlink xmlns:r="http://schemas.openxmlformats.org/officeDocument/2006/relationships" ref="R20" r:id="rId17"/>
    <hyperlink xmlns:r="http://schemas.openxmlformats.org/officeDocument/2006/relationships" ref="R21" r:id="rId18"/>
    <hyperlink xmlns:r="http://schemas.openxmlformats.org/officeDocument/2006/relationships" ref="R22" r:id="rId19"/>
    <hyperlink xmlns:r="http://schemas.openxmlformats.org/officeDocument/2006/relationships" ref="R23" r:id="rId20"/>
    <hyperlink xmlns:r="http://schemas.openxmlformats.org/officeDocument/2006/relationships" ref="R24" r:id="rId21"/>
    <hyperlink xmlns:r="http://schemas.openxmlformats.org/officeDocument/2006/relationships" ref="R25" r:id="rId22"/>
    <hyperlink xmlns:r="http://schemas.openxmlformats.org/officeDocument/2006/relationships" ref="R26" r:id="rId23"/>
    <hyperlink xmlns:r="http://schemas.openxmlformats.org/officeDocument/2006/relationships" ref="R27" r:id="rId24"/>
    <hyperlink xmlns:r="http://schemas.openxmlformats.org/officeDocument/2006/relationships" ref="R28" r:id="rId25"/>
    <hyperlink xmlns:r="http://schemas.openxmlformats.org/officeDocument/2006/relationships" ref="R29" r:id="rId26"/>
    <hyperlink xmlns:r="http://schemas.openxmlformats.org/officeDocument/2006/relationships" ref="R30" r:id="rId27"/>
    <hyperlink xmlns:r="http://schemas.openxmlformats.org/officeDocument/2006/relationships" ref="R31" r:id="rId28"/>
    <hyperlink xmlns:r="http://schemas.openxmlformats.org/officeDocument/2006/relationships" ref="R32" r:id="rId29"/>
    <hyperlink xmlns:r="http://schemas.openxmlformats.org/officeDocument/2006/relationships" ref="R33" r:id="rId30"/>
    <hyperlink xmlns:r="http://schemas.openxmlformats.org/officeDocument/2006/relationships" ref="R34" r:id="rId31"/>
    <hyperlink xmlns:r="http://schemas.openxmlformats.org/officeDocument/2006/relationships" ref="R35" r:id="rId32"/>
    <hyperlink xmlns:r="http://schemas.openxmlformats.org/officeDocument/2006/relationships" ref="R36" r:id="rId33"/>
    <hyperlink xmlns:r="http://schemas.openxmlformats.org/officeDocument/2006/relationships" ref="R37" r:id="rId34"/>
    <hyperlink xmlns:r="http://schemas.openxmlformats.org/officeDocument/2006/relationships" ref="R38" r:id="rId35"/>
    <hyperlink xmlns:r="http://schemas.openxmlformats.org/officeDocument/2006/relationships" ref="R39" r:id="rId36"/>
    <hyperlink xmlns:r="http://schemas.openxmlformats.org/officeDocument/2006/relationships" ref="R40" r:id="rId37"/>
    <hyperlink xmlns:r="http://schemas.openxmlformats.org/officeDocument/2006/relationships" ref="R41" r:id="rId38"/>
    <hyperlink xmlns:r="http://schemas.openxmlformats.org/officeDocument/2006/relationships" ref="R42" r:id="rId39"/>
    <hyperlink xmlns:r="http://schemas.openxmlformats.org/officeDocument/2006/relationships" ref="R43" r:id="rId40"/>
    <hyperlink xmlns:r="http://schemas.openxmlformats.org/officeDocument/2006/relationships" ref="R44" r:id="rId41"/>
    <hyperlink xmlns:r="http://schemas.openxmlformats.org/officeDocument/2006/relationships" ref="R45" r:id="rId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55" customWidth="1" min="4" max="4"/>
    <col width="8" customWidth="1" min="5" max="5"/>
  </cols>
  <sheetData>
    <row r="1" ht="30" customHeight="1">
      <c r="A1" s="13" t="inlineStr">
        <is>
          <t>DISPOSITIFS PAR ACTIVITE HUARD</t>
        </is>
      </c>
    </row>
    <row r="3" ht="28" customHeight="1">
      <c r="A3" s="35" t="inlineStr">
        <is>
          <t>ELECTRICITE (courants forts/faibles, eclairage, distribution, IRVE, PV)</t>
        </is>
      </c>
    </row>
    <row r="4" ht="24" customHeight="1">
      <c r="A4" s="15" t="inlineStr">
        <is>
          <t>Dispositif</t>
        </is>
      </c>
      <c r="B4" s="15" t="inlineStr">
        <is>
          <t>Priorite</t>
        </is>
      </c>
      <c r="C4" s="15" t="inlineStr">
        <is>
          <t>Type</t>
        </is>
      </c>
      <c r="D4" s="15" t="inlineStr">
        <is>
          <t>Angle commercial / Cible</t>
        </is>
      </c>
      <c r="E4" s="15" t="inlineStr"/>
    </row>
    <row r="5" ht="36" customHeight="1">
      <c r="A5" s="36" t="inlineStr">
        <is>
          <t>CEE BAT-EQ-127 - Luminaires LED tertiaire</t>
        </is>
      </c>
      <c r="B5" s="22" t="inlineStr">
        <is>
          <t>Tres haute</t>
        </is>
      </c>
      <c r="C5" s="36" t="inlineStr">
        <is>
          <t>CEE</t>
        </is>
      </c>
      <c r="D5" s="36" t="inlineStr">
        <is>
          <t>Toiture commerciale obligation APER pour parkings - relamping LED</t>
        </is>
      </c>
    </row>
    <row r="6" ht="36" customHeight="1">
      <c r="A6" s="36" t="inlineStr">
        <is>
          <t>CEE BAT-EQ-133 - Gestion de l'eclairage (detection, gradation)</t>
        </is>
      </c>
      <c r="B6" s="19" t="inlineStr">
        <is>
          <t>Haute</t>
        </is>
      </c>
      <c r="C6" s="36" t="inlineStr">
        <is>
          <t>CEE</t>
        </is>
      </c>
      <c r="D6" s="36" t="inlineStr">
        <is>
          <t>Couple systematiquement avec BAT-EQ-127</t>
        </is>
      </c>
    </row>
    <row r="7" ht="36" customHeight="1">
      <c r="A7" s="36" t="inlineStr">
        <is>
          <t>Prime autoconsommation PV S26 + Tarif EDF OA</t>
        </is>
      </c>
      <c r="B7" s="22" t="inlineStr">
        <is>
          <t>Tres haute</t>
        </is>
      </c>
      <c r="C7" s="36" t="inlineStr">
        <is>
          <t>Prime/tarif</t>
        </is>
      </c>
      <c r="D7" s="36" t="inlineStr">
        <is>
          <t>Marche tertiaire/industrie - autoconso 9-500 kWc</t>
        </is>
      </c>
    </row>
    <row r="8" ht="36" customHeight="1">
      <c r="A8" s="36" t="inlineStr">
        <is>
          <t>Loi APER - ombrieres PV parkings &gt; 1500 m2 (500 m2 en 07/2026)</t>
        </is>
      </c>
      <c r="B8" s="22" t="inlineStr">
        <is>
          <t>Tres haute</t>
        </is>
      </c>
      <c r="C8" s="36" t="inlineStr">
        <is>
          <t>Obligation</t>
        </is>
      </c>
      <c r="D8" s="36" t="inlineStr">
        <is>
          <t>Marche captif - prospecter parkings clients</t>
        </is>
      </c>
    </row>
    <row r="9" ht="36" customHeight="1">
      <c r="A9" s="36" t="inlineStr">
        <is>
          <t>Programme ADVENIR - bornes recharge IRVE</t>
        </is>
      </c>
      <c r="B9" s="22" t="inlineStr">
        <is>
          <t>Tres haute</t>
        </is>
      </c>
      <c r="C9" s="36" t="inlineStr">
        <is>
          <t>Programme CEE</t>
        </is>
      </c>
      <c r="D9" s="36" t="inlineStr">
        <is>
          <t>Copro + entreprises - HUARD doit etre labellise ADVENIR</t>
        </is>
      </c>
    </row>
    <row r="10" ht="36" customHeight="1">
      <c r="A10" s="36" t="inlineStr">
        <is>
          <t>CEE BAT-TH-116 - GTB + decret BACS</t>
        </is>
      </c>
      <c r="B10" s="22" t="inlineStr">
        <is>
          <t>Tres haute</t>
        </is>
      </c>
      <c r="C10" s="36" t="inlineStr">
        <is>
          <t>CEE + obligation</t>
        </is>
      </c>
      <c r="D10" s="36" t="inlineStr">
        <is>
          <t>Obligation &gt; 290 kW (2025) puis &gt; 70 kW (2027)</t>
        </is>
      </c>
    </row>
    <row r="11" ht="36" customHeight="1">
      <c r="A11" s="36" t="inlineStr">
        <is>
          <t>CEE IND-UT-103 - Variateurs vitesse moteurs</t>
        </is>
      </c>
      <c r="B11" s="19" t="inlineStr">
        <is>
          <t>Haute</t>
        </is>
      </c>
      <c r="C11" s="36" t="inlineStr">
        <is>
          <t>CEE</t>
        </is>
      </c>
      <c r="D11" s="36" t="inlineStr">
        <is>
          <t>Sites industriels - moteurs charge variable</t>
        </is>
      </c>
    </row>
    <row r="12" ht="36" customHeight="1">
      <c r="A12" s="36" t="inlineStr">
        <is>
          <t>Loi LOM - pre-equipement IRVE parkings tertiaires</t>
        </is>
      </c>
      <c r="B12" s="19" t="inlineStr">
        <is>
          <t>Haute</t>
        </is>
      </c>
      <c r="C12" s="36" t="inlineStr">
        <is>
          <t>Obligation</t>
        </is>
      </c>
      <c r="D12" s="36" t="inlineStr">
        <is>
          <t>Tous batiments tertiaires neufs/renoves</t>
        </is>
      </c>
    </row>
    <row r="14" ht="28" customHeight="1">
      <c r="A14" s="35" t="inlineStr">
        <is>
          <t>CVC (chauffage, ventilation, climatisation, ECS, plomberie)</t>
        </is>
      </c>
    </row>
    <row r="15" ht="24" customHeight="1">
      <c r="A15" s="15" t="inlineStr">
        <is>
          <t>Dispositif</t>
        </is>
      </c>
      <c r="B15" s="15" t="inlineStr">
        <is>
          <t>Priorite</t>
        </is>
      </c>
      <c r="C15" s="15" t="inlineStr">
        <is>
          <t>Type</t>
        </is>
      </c>
      <c r="D15" s="15" t="inlineStr">
        <is>
          <t>Angle commercial / Cible</t>
        </is>
      </c>
      <c r="E15" s="15" t="inlineStr"/>
    </row>
    <row r="16" ht="36" customHeight="1">
      <c r="A16" s="36" t="inlineStr">
        <is>
          <t>CEE BAT-TH-104 - PAC air/eau, eau/eau</t>
        </is>
      </c>
      <c r="B16" s="22" t="inlineStr">
        <is>
          <t>Tres haute</t>
        </is>
      </c>
      <c r="C16" s="36" t="inlineStr">
        <is>
          <t>CEE</t>
        </is>
      </c>
      <c r="D16" s="36" t="inlineStr">
        <is>
          <t>Copro chauffage fioul/gaz - sortie energie fossile bonifiee</t>
        </is>
      </c>
    </row>
    <row r="17" ht="36" customHeight="1">
      <c r="A17" s="36" t="inlineStr">
        <is>
          <t>Coup de pouce 'Chauffage tertiaire'</t>
        </is>
      </c>
      <c r="B17" s="22" t="inlineStr">
        <is>
          <t>Tres haute</t>
        </is>
      </c>
      <c r="C17" s="36" t="inlineStr">
        <is>
          <t>CEE bonifie</t>
        </is>
      </c>
      <c r="D17" s="36" t="inlineStr">
        <is>
          <t>Bonification x2-4 sortie fioul/charbon</t>
        </is>
      </c>
    </row>
    <row r="18" ht="36" customHeight="1">
      <c r="A18" s="36" t="inlineStr">
        <is>
          <t>Fonds Chaleur ADEME - geothermie, biomasse, solaire thermique, chaleur fatale</t>
        </is>
      </c>
      <c r="B18" s="22" t="inlineStr">
        <is>
          <t>Tres haute</t>
        </is>
      </c>
      <c r="C18" s="36" t="inlineStr">
        <is>
          <t>Subvention</t>
        </is>
      </c>
      <c r="D18" s="36" t="inlineStr">
        <is>
          <t>Aide jusqu'a 65% - chaufferies collectives, hopitaux, hotels, piscines</t>
        </is>
      </c>
    </row>
    <row r="19" ht="36" customHeight="1">
      <c r="A19" s="36" t="inlineStr">
        <is>
          <t>Coup de pouce 'Renovation performante tertiaire'</t>
        </is>
      </c>
      <c r="B19" s="22" t="inlineStr">
        <is>
          <t>Tres haute</t>
        </is>
      </c>
      <c r="C19" s="36" t="inlineStr">
        <is>
          <t>CEE bonifie</t>
        </is>
      </c>
      <c r="D19" s="36" t="inlineStr">
        <is>
          <t>Audit + bouquet &gt;= 30% gain</t>
        </is>
      </c>
    </row>
    <row r="20" ht="36" customHeight="1">
      <c r="A20" s="36" t="inlineStr">
        <is>
          <t>CEE BAT-TH-127 - Raccordement reseau de chaleur EnR&amp;R</t>
        </is>
      </c>
      <c r="B20" s="19" t="inlineStr">
        <is>
          <t>Haute</t>
        </is>
      </c>
      <c r="C20" s="36" t="inlineStr">
        <is>
          <t>CEE</t>
        </is>
      </c>
      <c r="D20" s="36" t="inlineStr">
        <is>
          <t>100+ reseaux de chaleur en IDF</t>
        </is>
      </c>
    </row>
    <row r="21" ht="36" customHeight="1">
      <c r="A21" s="36" t="inlineStr">
        <is>
          <t>CEE BAT-TH-146 - Calorifugeage points singuliers</t>
        </is>
      </c>
      <c r="B21" s="23" t="inlineStr">
        <is>
          <t>Moyenne</t>
        </is>
      </c>
      <c r="C21" s="36" t="inlineStr">
        <is>
          <t>CEE</t>
        </is>
      </c>
      <c r="D21" s="36" t="inlineStr">
        <is>
          <t>Action recurrente - integrer aux contrats P2/P3</t>
        </is>
      </c>
    </row>
    <row r="22" ht="36" customHeight="1">
      <c r="A22" s="36" t="inlineStr">
        <is>
          <t>CEE BAT-TH-155/125 - VMC double flux</t>
        </is>
      </c>
      <c r="B22" s="23" t="inlineStr">
        <is>
          <t>Moyenne</t>
        </is>
      </c>
      <c r="C22" s="36" t="inlineStr">
        <is>
          <t>CEE</t>
        </is>
      </c>
      <c r="D22" s="36" t="inlineStr">
        <is>
          <t>QAI + economies</t>
        </is>
      </c>
    </row>
    <row r="23" ht="36" customHeight="1">
      <c r="A23" s="36" t="inlineStr">
        <is>
          <t>MaPrimeRenov Copropriete</t>
        </is>
      </c>
      <c r="B23" s="22" t="inlineStr">
        <is>
          <t>Tres haute</t>
        </is>
      </c>
      <c r="C23" s="36" t="inlineStr">
        <is>
          <t>Prime</t>
        </is>
      </c>
      <c r="D23" s="36" t="inlineStr">
        <is>
          <t>Chauffage collectif copro IDF</t>
        </is>
      </c>
    </row>
    <row r="25" ht="28" customHeight="1">
      <c r="A25" s="35" t="inlineStr">
        <is>
          <t>TELECOMS &amp; INFORMATIQUE (reseau cuivre/fibre, courants faibles, datacenters)</t>
        </is>
      </c>
    </row>
    <row r="26" ht="24" customHeight="1">
      <c r="A26" s="15" t="inlineStr">
        <is>
          <t>Dispositif</t>
        </is>
      </c>
      <c r="B26" s="15" t="inlineStr">
        <is>
          <t>Priorite</t>
        </is>
      </c>
      <c r="C26" s="15" t="inlineStr">
        <is>
          <t>Type</t>
        </is>
      </c>
      <c r="D26" s="15" t="inlineStr">
        <is>
          <t>Angle commercial / Cible</t>
        </is>
      </c>
      <c r="E26" s="15" t="inlineStr"/>
    </row>
    <row r="27" ht="36" customHeight="1">
      <c r="A27" s="36" t="inlineStr">
        <is>
          <t>Bonification CEE actions datacenter (efficacite refroidissement, free cooling)</t>
        </is>
      </c>
      <c r="B27" s="23" t="inlineStr">
        <is>
          <t>Moyenne</t>
        </is>
      </c>
      <c r="C27" s="36" t="inlineStr">
        <is>
          <t>CEE specifique</t>
        </is>
      </c>
      <c r="D27" s="36" t="inlineStr">
        <is>
          <t>Sur fiches IND-UT pour groupes froid datacenter</t>
        </is>
      </c>
    </row>
    <row r="28" ht="36" customHeight="1">
      <c r="A28" s="36" t="inlineStr">
        <is>
          <t>CEE BAT-TH-116 - GTB pour pilotage CVC datacenter</t>
        </is>
      </c>
      <c r="B28" s="19" t="inlineStr">
        <is>
          <t>Haute</t>
        </is>
      </c>
      <c r="C28" s="36" t="inlineStr">
        <is>
          <t>CEE</t>
        </is>
      </c>
      <c r="D28" s="36" t="inlineStr">
        <is>
          <t>Indirect mais structurant pour clients hebergeurs</t>
        </is>
      </c>
    </row>
    <row r="29" ht="36" customHeight="1">
      <c r="A29" s="36" t="inlineStr">
        <is>
          <t>Diag Decarbon'Action (Bpifrance)</t>
        </is>
      </c>
      <c r="B29" s="19" t="inlineStr">
        <is>
          <t>Haute</t>
        </is>
      </c>
      <c r="C29" s="36" t="inlineStr">
        <is>
          <t>Subvention</t>
        </is>
      </c>
      <c r="D29" s="36" t="inlineStr">
        <is>
          <t>Forfait 4000 EUR PME - utile sur clients telecoms/IT</t>
        </is>
      </c>
    </row>
    <row r="30" ht="36" customHeight="1">
      <c r="A30" s="36" t="inlineStr">
        <is>
          <t>Aides regionales IDF transition numerique vertueuse</t>
        </is>
      </c>
      <c r="B30" s="23" t="inlineStr">
        <is>
          <t>Moyenne</t>
        </is>
      </c>
      <c r="C30" s="36" t="inlineStr">
        <is>
          <t>Subvention</t>
        </is>
      </c>
      <c r="D30" s="36" t="inlineStr">
        <is>
          <t>Selon AAP en cours</t>
        </is>
      </c>
    </row>
    <row r="32" ht="28" customHeight="1">
      <c r="A32" s="35" t="inlineStr">
        <is>
          <t>MAINTENANCE multi-technique (contrats P2/P3, GMAO, maintenance preventive)</t>
        </is>
      </c>
    </row>
    <row r="33" ht="24" customHeight="1">
      <c r="A33" s="15" t="inlineStr">
        <is>
          <t>Dispositif</t>
        </is>
      </c>
      <c r="B33" s="15" t="inlineStr">
        <is>
          <t>Priorite</t>
        </is>
      </c>
      <c r="C33" s="15" t="inlineStr">
        <is>
          <t>Type</t>
        </is>
      </c>
      <c r="D33" s="15" t="inlineStr">
        <is>
          <t>Angle commercial / Cible</t>
        </is>
      </c>
      <c r="E33" s="15" t="inlineStr"/>
    </row>
    <row r="34" ht="36" customHeight="1">
      <c r="A34" s="36" t="inlineStr">
        <is>
          <t>CEE BAT-TH-146 - Calorifugeage</t>
        </is>
      </c>
      <c r="B34" s="19" t="inlineStr">
        <is>
          <t>Haute</t>
        </is>
      </c>
      <c r="C34" s="36" t="inlineStr">
        <is>
          <t>CEE</t>
        </is>
      </c>
      <c r="D34" s="36" t="inlineStr">
        <is>
          <t>Integrer dans toute revisite annuelle chaufferie</t>
        </is>
      </c>
    </row>
    <row r="35" ht="36" customHeight="1">
      <c r="A35" s="36" t="inlineStr">
        <is>
          <t>CEE BAT-TH-116 - GTB pilotage</t>
        </is>
      </c>
      <c r="B35" s="22" t="inlineStr">
        <is>
          <t>Tres haute</t>
        </is>
      </c>
      <c r="C35" s="36" t="inlineStr">
        <is>
          <t>CEE + obligation BACS</t>
        </is>
      </c>
      <c r="D35" s="36" t="inlineStr">
        <is>
          <t>Contrats d'exploitation incluant pilotage</t>
        </is>
      </c>
    </row>
    <row r="36" ht="36" customHeight="1">
      <c r="A36" s="36" t="inlineStr">
        <is>
          <t>CEE BAT-TH-141 - Programmation horaire</t>
        </is>
      </c>
      <c r="B36" s="23" t="inlineStr">
        <is>
          <t>Moyenne</t>
        </is>
      </c>
      <c r="C36" s="36" t="inlineStr">
        <is>
          <t>CEE</t>
        </is>
      </c>
      <c r="D36" s="36" t="inlineStr">
        <is>
          <t>Action low-cost a integrer systematiquement</t>
        </is>
      </c>
    </row>
    <row r="37" ht="36" customHeight="1">
      <c r="A37" s="36" t="inlineStr">
        <is>
          <t>CEE IND-UT-103 - Variateurs</t>
        </is>
      </c>
      <c r="B37" s="23" t="inlineStr">
        <is>
          <t>Moyenne</t>
        </is>
      </c>
      <c r="C37" s="36" t="inlineStr">
        <is>
          <t>CEE</t>
        </is>
      </c>
      <c r="D37" s="36" t="inlineStr">
        <is>
          <t>Equiper le parc moteurs</t>
        </is>
      </c>
    </row>
    <row r="38" ht="36" customHeight="1">
      <c r="A38" s="36" t="inlineStr">
        <is>
          <t>Coup de pouce 'Pilotage connecte du chauffage'</t>
        </is>
      </c>
      <c r="B38" s="19" t="inlineStr">
        <is>
          <t>Haute</t>
        </is>
      </c>
      <c r="C38" s="36" t="inlineStr">
        <is>
          <t>CEE bonifie</t>
        </is>
      </c>
      <c r="D38" s="36" t="inlineStr">
        <is>
          <t>Argument 'maintenance connectee' HUARD</t>
        </is>
      </c>
    </row>
    <row r="39" ht="36" customHeight="1">
      <c r="A39" s="36" t="inlineStr">
        <is>
          <t>PRO-SMEn - ISO 50001</t>
        </is>
      </c>
      <c r="B39" s="34" t="inlineStr">
        <is>
          <t>Faible</t>
        </is>
      </c>
      <c r="C39" s="36" t="inlineStr">
        <is>
          <t>Subvention</t>
        </is>
      </c>
      <c r="D39" s="36" t="inlineStr">
        <is>
          <t>Pour gros clients industriels qui certifient</t>
        </is>
      </c>
    </row>
  </sheetData>
  <mergeCells count="5">
    <mergeCell ref="A1:F1"/>
    <mergeCell ref="A25:E25"/>
    <mergeCell ref="A32:E32"/>
    <mergeCell ref="A14:E1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22" customWidth="1" min="8" max="8"/>
  </cols>
  <sheetData>
    <row r="1" ht="30" customHeight="1">
      <c r="A1" s="13" t="inlineStr">
        <is>
          <t>GRILLE DE QUALIFICATION RAPIDE - QUI BENEFICIE DE QUOI</t>
        </is>
      </c>
    </row>
    <row r="2">
      <c r="A2" s="37" t="inlineStr">
        <is>
          <t>Cocher mentalement le profil client, lire les dispositifs eligibles sur la ligne.</t>
        </is>
      </c>
    </row>
    <row r="4" ht="36" customHeight="1">
      <c r="A4" s="38" t="inlineStr">
        <is>
          <t>Profil client</t>
        </is>
      </c>
      <c r="B4" s="39" t="inlineStr">
        <is>
          <t>CEE tertiaire</t>
        </is>
      </c>
      <c r="C4" s="39" t="inlineStr">
        <is>
          <t>Coup de pouce</t>
        </is>
      </c>
      <c r="D4" s="39" t="inlineStr">
        <is>
          <t>Fonds Chaleur</t>
        </is>
      </c>
      <c r="E4" s="39" t="inlineStr">
        <is>
          <t>Bpifrance Pret/Diag</t>
        </is>
      </c>
      <c r="F4" s="39" t="inlineStr">
        <is>
          <t>Region IDF</t>
        </is>
      </c>
      <c r="G4" s="39" t="inlineStr">
        <is>
          <t>ADVENIR IRVE</t>
        </is>
      </c>
      <c r="H4" s="39" t="inlineStr">
        <is>
          <t>MaPrimeRenov / Eco-PTZ</t>
        </is>
      </c>
    </row>
    <row r="5" ht="30" customHeight="1">
      <c r="A5" s="40" t="inlineStr">
        <is>
          <t>PME tertiaire (bureaux, commerces, services) &lt; 1000 m2</t>
        </is>
      </c>
      <c r="B5" s="41" t="inlineStr">
        <is>
          <t>OUI</t>
        </is>
      </c>
      <c r="C5" s="42" t="inlineStr">
        <is>
          <t>OUI (selon)</t>
        </is>
      </c>
      <c r="D5" s="42" t="inlineStr">
        <is>
          <t>OUI si EnR</t>
        </is>
      </c>
      <c r="E5" s="41" t="inlineStr">
        <is>
          <t>OUI</t>
        </is>
      </c>
      <c r="F5" s="41" t="inlineStr">
        <is>
          <t>OUI</t>
        </is>
      </c>
      <c r="G5" s="42" t="inlineStr">
        <is>
          <t>OUI parking entreprise</t>
        </is>
      </c>
      <c r="H5" s="43" t="inlineStr">
        <is>
          <t>NON</t>
        </is>
      </c>
    </row>
    <row r="6" ht="30" customHeight="1">
      <c r="A6" s="40" t="inlineStr">
        <is>
          <t>Tertiaire 1000 - 5000 m2 (decret DEET)</t>
        </is>
      </c>
      <c r="B6" s="41" t="inlineStr">
        <is>
          <t>OUI</t>
        </is>
      </c>
      <c r="C6" s="41" t="inlineStr">
        <is>
          <t>OUI</t>
        </is>
      </c>
      <c r="D6" s="42" t="inlineStr">
        <is>
          <t>OUI EnR / RDC</t>
        </is>
      </c>
      <c r="E6" s="41" t="inlineStr">
        <is>
          <t>OUI</t>
        </is>
      </c>
      <c r="F6" s="41" t="inlineStr">
        <is>
          <t>OUI</t>
        </is>
      </c>
      <c r="G6" s="41" t="inlineStr">
        <is>
          <t>OUI</t>
        </is>
      </c>
      <c r="H6" s="43" t="inlineStr">
        <is>
          <t>NON</t>
        </is>
      </c>
    </row>
    <row r="7" ht="30" customHeight="1">
      <c r="A7" s="40" t="inlineStr">
        <is>
          <t>Grand tertiaire &gt; 5000 m2 (groupes, sieges)</t>
        </is>
      </c>
      <c r="B7" s="41" t="inlineStr">
        <is>
          <t>OUI</t>
        </is>
      </c>
      <c r="C7" s="42" t="inlineStr">
        <is>
          <t>OUI (selon)</t>
        </is>
      </c>
      <c r="D7" s="42" t="inlineStr">
        <is>
          <t>OUI EnR</t>
        </is>
      </c>
      <c r="E7" s="42" t="inlineStr">
        <is>
          <t>Pret Vert</t>
        </is>
      </c>
      <c r="F7" s="42" t="inlineStr">
        <is>
          <t>OUI (groupements)</t>
        </is>
      </c>
      <c r="G7" s="41" t="inlineStr">
        <is>
          <t>OUI</t>
        </is>
      </c>
      <c r="H7" s="43" t="inlineStr">
        <is>
          <t>NON</t>
        </is>
      </c>
    </row>
    <row r="8" ht="30" customHeight="1">
      <c r="A8" s="40" t="inlineStr">
        <is>
          <t>Industrie / sites de production</t>
        </is>
      </c>
      <c r="B8" s="42" t="inlineStr">
        <is>
          <t>OUI (fiches IND)</t>
        </is>
      </c>
      <c r="C8" s="44" t="inlineStr">
        <is>
          <t>Limite</t>
        </is>
      </c>
      <c r="D8" s="42" t="inlineStr">
        <is>
          <t>OUI chaleur fatale, biomasse</t>
        </is>
      </c>
      <c r="E8" s="41" t="inlineStr">
        <is>
          <t>OUI</t>
        </is>
      </c>
      <c r="F8" s="41" t="inlineStr">
        <is>
          <t>OUI</t>
        </is>
      </c>
      <c r="G8" s="42" t="inlineStr">
        <is>
          <t>OUI flottes salaries</t>
        </is>
      </c>
      <c r="H8" s="43" t="inlineStr">
        <is>
          <t>NON</t>
        </is>
      </c>
    </row>
    <row r="9" ht="30" customHeight="1">
      <c r="A9" s="40" t="inlineStr">
        <is>
          <t>Collectivite (commune, EPCI, MGP)</t>
        </is>
      </c>
      <c r="B9" s="42" t="inlineStr">
        <is>
          <t>OUI BAT</t>
        </is>
      </c>
      <c r="C9" s="42" t="inlineStr">
        <is>
          <t>OUI selon</t>
        </is>
      </c>
      <c r="D9" s="41" t="inlineStr">
        <is>
          <t>OUI</t>
        </is>
      </c>
      <c r="E9" s="42" t="inlineStr">
        <is>
          <t>Banque des territoires</t>
        </is>
      </c>
      <c r="F9" s="42" t="inlineStr">
        <is>
          <t>OUI MGP/IDF + ACTEE</t>
        </is>
      </c>
      <c r="G9" s="42" t="inlineStr">
        <is>
          <t>OUI voirie + bat. publics</t>
        </is>
      </c>
      <c r="H9" s="43" t="inlineStr">
        <is>
          <t>NON</t>
        </is>
      </c>
    </row>
    <row r="10" ht="30" customHeight="1">
      <c r="A10" s="40" t="inlineStr">
        <is>
          <t>Bailleur social / OPH</t>
        </is>
      </c>
      <c r="B10" s="42" t="inlineStr">
        <is>
          <t>OUI BAR &amp; BAT</t>
        </is>
      </c>
      <c r="C10" s="41" t="inlineStr">
        <is>
          <t>OUI</t>
        </is>
      </c>
      <c r="D10" s="42" t="inlineStr">
        <is>
          <t>OUI selon</t>
        </is>
      </c>
      <c r="E10" s="41" t="inlineStr">
        <is>
          <t>OUI</t>
        </is>
      </c>
      <c r="F10" s="42" t="inlineStr">
        <is>
          <t>OUI Energies POSIT'IF</t>
        </is>
      </c>
      <c r="G10" s="42" t="inlineStr">
        <is>
          <t>OUI parc</t>
        </is>
      </c>
      <c r="H10" s="42" t="inlineStr">
        <is>
          <t>MPR Copro pour mixte</t>
        </is>
      </c>
    </row>
    <row r="11" ht="30" customHeight="1">
      <c r="A11" s="40" t="inlineStr">
        <is>
          <t>Copropriete (residence collective)</t>
        </is>
      </c>
      <c r="B11" s="42" t="inlineStr">
        <is>
          <t>OUI BAR-TH</t>
        </is>
      </c>
      <c r="C11" s="41" t="inlineStr">
        <is>
          <t>OUI</t>
        </is>
      </c>
      <c r="D11" s="42" t="inlineStr">
        <is>
          <t>OUI EnR collectif</t>
        </is>
      </c>
      <c r="E11" s="42" t="inlineStr">
        <is>
          <t>Eco-PTZ copro</t>
        </is>
      </c>
      <c r="F11" s="42" t="inlineStr">
        <is>
          <t>OUI POSIT'IF</t>
        </is>
      </c>
      <c r="G11" s="42" t="inlineStr">
        <is>
          <t>OUI infra collective</t>
        </is>
      </c>
      <c r="H11" s="42" t="inlineStr">
        <is>
          <t>OUI MPR Copro + Eco-PTZ</t>
        </is>
      </c>
    </row>
    <row r="12" ht="30" customHeight="1">
      <c r="A12" s="40" t="inlineStr">
        <is>
          <t>Promoteur / Constructeur (neuf)</t>
        </is>
      </c>
      <c r="B12" s="42" t="inlineStr">
        <is>
          <t>Limite (rehab)</t>
        </is>
      </c>
      <c r="C12" s="44" t="inlineStr">
        <is>
          <t>Limite</t>
        </is>
      </c>
      <c r="D12" s="42" t="inlineStr">
        <is>
          <t>Selon</t>
        </is>
      </c>
      <c r="E12" s="41" t="inlineStr">
        <is>
          <t>OUI</t>
        </is>
      </c>
      <c r="F12" s="41" t="inlineStr">
        <is>
          <t>OUI</t>
        </is>
      </c>
      <c r="G12" s="42" t="inlineStr">
        <is>
          <t>OUI pre-equipement</t>
        </is>
      </c>
      <c r="H12" s="43" t="inlineStr">
        <is>
          <t>NON</t>
        </is>
      </c>
    </row>
    <row r="13" ht="30" customHeight="1">
      <c r="A13" s="40" t="inlineStr">
        <is>
          <t>Particulier maison individuelle</t>
        </is>
      </c>
      <c r="B13" s="42" t="inlineStr">
        <is>
          <t>OUI BAR-TH/EN</t>
        </is>
      </c>
      <c r="C13" s="41" t="inlineStr">
        <is>
          <t>OUI</t>
        </is>
      </c>
      <c r="D13" s="44" t="inlineStr">
        <is>
          <t>Limite</t>
        </is>
      </c>
      <c r="E13" s="43" t="inlineStr">
        <is>
          <t>NON</t>
        </is>
      </c>
      <c r="F13" s="42" t="inlineStr">
        <is>
          <t>Selon dispo</t>
        </is>
      </c>
      <c r="G13" s="42" t="inlineStr">
        <is>
          <t>Particulier &lt;= 960 EUR</t>
        </is>
      </c>
      <c r="H13" s="42" t="inlineStr">
        <is>
          <t>OUI MPR + Eco-PTZ</t>
        </is>
      </c>
    </row>
    <row r="14" ht="30" customHeight="1">
      <c r="A14" s="40" t="inlineStr">
        <is>
          <t>Hotel / restauration / sante</t>
        </is>
      </c>
      <c r="B14" s="42" t="inlineStr">
        <is>
          <t>OUI tertiaire</t>
        </is>
      </c>
      <c r="C14" s="41" t="inlineStr">
        <is>
          <t>OUI</t>
        </is>
      </c>
      <c r="D14" s="42" t="inlineStr">
        <is>
          <t>OUI EnR (ECS solaire, biomasse)</t>
        </is>
      </c>
      <c r="E14" s="41" t="inlineStr">
        <is>
          <t>OUI</t>
        </is>
      </c>
      <c r="F14" s="41" t="inlineStr">
        <is>
          <t>OUI</t>
        </is>
      </c>
      <c r="G14" s="41" t="inlineStr">
        <is>
          <t>OUI</t>
        </is>
      </c>
      <c r="H14" s="43" t="inlineStr">
        <is>
          <t>NON</t>
        </is>
      </c>
    </row>
    <row r="15" ht="30" customHeight="1">
      <c r="A15" s="40" t="inlineStr">
        <is>
          <t>Datacenter / IT</t>
        </is>
      </c>
      <c r="B15" s="42" t="inlineStr">
        <is>
          <t>Limite (fiches IND-UT)</t>
        </is>
      </c>
      <c r="C15" s="43" t="inlineStr">
        <is>
          <t>NON</t>
        </is>
      </c>
      <c r="D15" s="42" t="inlineStr">
        <is>
          <t>OUI chaleur fatale</t>
        </is>
      </c>
      <c r="E15" s="41" t="inlineStr">
        <is>
          <t>OUI</t>
        </is>
      </c>
      <c r="F15" s="42" t="inlineStr">
        <is>
          <t>OUI selon AAP</t>
        </is>
      </c>
      <c r="G15" s="41" t="inlineStr">
        <is>
          <t>OUI</t>
        </is>
      </c>
      <c r="H15" s="43" t="inlineStr">
        <is>
          <t>NON</t>
        </is>
      </c>
    </row>
    <row r="16" ht="30" customHeight="1">
      <c r="A16" s="40" t="inlineStr">
        <is>
          <t>Logistique / entrepots</t>
        </is>
      </c>
      <c r="B16" s="42" t="inlineStr">
        <is>
          <t>OUI BAT</t>
        </is>
      </c>
      <c r="C16" s="41" t="inlineStr">
        <is>
          <t>OUI</t>
        </is>
      </c>
      <c r="D16" s="42" t="inlineStr">
        <is>
          <t>OUI selon</t>
        </is>
      </c>
      <c r="E16" s="41" t="inlineStr">
        <is>
          <t>OUI</t>
        </is>
      </c>
      <c r="F16" s="41" t="inlineStr">
        <is>
          <t>OUI</t>
        </is>
      </c>
      <c r="G16" s="42" t="inlineStr">
        <is>
          <t>OUI parking et flotte</t>
        </is>
      </c>
      <c r="H16" s="43" t="inlineStr">
        <is>
          <t>NON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30" customWidth="1" min="3" max="3"/>
    <col width="14" customWidth="1" min="4" max="4"/>
  </cols>
  <sheetData>
    <row r="1" ht="30" customHeight="1">
      <c r="A1" s="13" t="inlineStr">
        <is>
          <t>ARGUMENTAIRE COMMERCIAL ET LEVIERS DE NEGOCIATION</t>
        </is>
      </c>
    </row>
    <row r="3" ht="32" customHeight="1">
      <c r="A3" s="15" t="inlineStr">
        <is>
          <t>Cas commercial</t>
        </is>
      </c>
      <c r="B3" s="15" t="inlineStr">
        <is>
          <t>Pitch / explication</t>
        </is>
      </c>
      <c r="C3" s="15" t="inlineStr">
        <is>
          <t>Cible</t>
        </is>
      </c>
      <c r="D3" s="15" t="inlineStr">
        <is>
          <t>Priorite</t>
        </is>
      </c>
    </row>
    <row r="4" ht="90" customHeight="1">
      <c r="A4" s="45" t="inlineStr">
        <is>
          <t>Pitch d'entree (porte ouverte client)</t>
        </is>
      </c>
      <c r="B4" s="46" t="inlineStr">
        <is>
          <t>« Saviez-vous que sur vos travaux d'eclairage / chauffage / IRVE, l'Etat finance entre 25% et 70% via les CEE et les primes ADEME ? Nous avons cartographie 37 dispositifs - je viens vous montrer ceux qui s'appliquent a votre site. »</t>
        </is>
      </c>
      <c r="C4" s="47" t="inlineStr">
        <is>
          <t>Tertiaire, copropriete, industrie</t>
        </is>
      </c>
      <c r="D4" s="48" t="inlineStr">
        <is>
          <t>Tres haute</t>
        </is>
      </c>
    </row>
    <row r="5" ht="90" customHeight="1">
      <c r="A5" s="49" t="inlineStr">
        <is>
          <t>Angle Decret Tertiaire (DEET)</t>
        </is>
      </c>
      <c r="B5" s="36" t="inlineStr">
        <is>
          <t>« Vous etes oblige par le decret tertiaire d'atteindre -40% de conso en 2030. Si vous ne deposez pas la declaration OPERAT, c'est 7500 EUR d'amende + name and shame. Nous proposons un parcours : audit -&gt; plan -&gt; travaux finances jusqu a 70% par CEE bonifies + ADEME. »</t>
        </is>
      </c>
      <c r="C5" s="50" t="inlineStr">
        <is>
          <t>Proprietaires/exploitants tertiaire &gt; 1000 m2</t>
        </is>
      </c>
      <c r="D5" s="48" t="inlineStr">
        <is>
          <t>Tres haute</t>
        </is>
      </c>
    </row>
    <row r="6" ht="90" customHeight="1">
      <c r="A6" s="45" t="inlineStr">
        <is>
          <t>Angle Decret BACS (GTB obligatoire)</t>
        </is>
      </c>
      <c r="B6" s="46" t="inlineStr">
        <is>
          <t>« Depuis le 1er janvier 2025, votre batiment doit etre equipe d'une GTB classe A/B si systeme CVC &gt; 290 kW. Au 1er janvier 2027, le seuil descend a 70 kW. La fiche CEE BAT-TH-116 finance 50-80% de l'investissement. »</t>
        </is>
      </c>
      <c r="C6" s="47" t="inlineStr">
        <is>
          <t>Tertiaire avec CVC moyenne/grosse puissance</t>
        </is>
      </c>
      <c r="D6" s="48" t="inlineStr">
        <is>
          <t>Tres haute</t>
        </is>
      </c>
    </row>
    <row r="7" ht="90" customHeight="1">
      <c r="A7" s="49" t="inlineStr">
        <is>
          <t>Angle Loi APER (ombrieres PV)</t>
        </is>
      </c>
      <c r="B7" s="36" t="inlineStr">
        <is>
          <t>« A partir de juillet 2026, tout parking de plus de 500 m2 devra etre couvert a 50% d'ombrieres PV. Pour un parking 1000 m2, c'est 80-100 kWc PV qui peut generer 13-15k EUR/an de revente surplus + prime autoconso. Nous montons le projet cle en main. »</t>
        </is>
      </c>
      <c r="C7" s="50" t="inlineStr">
        <is>
          <t>Hypermarches, logistique, zones commerciales, industries</t>
        </is>
      </c>
      <c r="D7" s="48" t="inlineStr">
        <is>
          <t>Tres haute</t>
        </is>
      </c>
    </row>
    <row r="8" ht="90" customHeight="1">
      <c r="A8" s="45" t="inlineStr">
        <is>
          <t>Angle IRVE/copropriete</t>
        </is>
      </c>
      <c r="B8" s="46" t="inlineStr">
        <is>
          <t>« Vos coproprietaires demandent des bornes ? Le programme ADVENIR finance jusqu'a 50% de l'installation (1660 EUR par point + 3000 EUR pre-equipement). Nous etes installateur labellise ADVENIR + Qualifelec IRVE. »</t>
        </is>
      </c>
      <c r="C8" s="47" t="inlineStr">
        <is>
          <t>Coproprietes, entreprises avec flotte salaries</t>
        </is>
      </c>
      <c r="D8" s="48" t="inlineStr">
        <is>
          <t>Tres haute</t>
        </is>
      </c>
    </row>
    <row r="9" ht="90" customHeight="1">
      <c r="A9" s="49" t="inlineStr">
        <is>
          <t>Angle 'zero cash' particulier</t>
        </is>
      </c>
      <c r="B9" s="36" t="inlineStr">
        <is>
          <t>« Pour le remplacement de votre chaudiere, vous beneficiez de : MaPrimeRenov + CEE + Eco-PTZ + TVA 5,5%. Pour un menage modeste, le reste a charge est souvent &lt; 10% du devis. »</t>
        </is>
      </c>
      <c r="C9" s="50" t="inlineStr">
        <is>
          <t>Particuliers menage modeste a intermediaire</t>
        </is>
      </c>
      <c r="D9" s="51" t="inlineStr">
        <is>
          <t>Haute</t>
        </is>
      </c>
    </row>
    <row r="10" ht="90" customHeight="1">
      <c r="A10" s="45" t="inlineStr">
        <is>
          <t>Angle 'efficacite + amorti' PME industrielle</t>
        </is>
      </c>
      <c r="B10" s="46" t="inlineStr">
        <is>
          <t>« Diag Eco-Flux Bpifrance (3 750 EUR pour vous, le reste finance) + CEE sur l'eclairage et les variateurs + Pret Economies d'Energie a taux bonifie : amortissement &lt; 4 ans, marge brute amelioree de 2-3 points. »</t>
        </is>
      </c>
      <c r="C10" s="47" t="inlineStr">
        <is>
          <t>PME industrielles 20-250 salaries</t>
        </is>
      </c>
      <c r="D10" s="51" t="inlineStr">
        <is>
          <t>Haute</t>
        </is>
      </c>
    </row>
    <row r="11" ht="90" customHeight="1">
      <c r="A11" s="49" t="inlineStr">
        <is>
          <t>Cumul possible (a maitriser)</t>
        </is>
      </c>
      <c r="B11" s="36" t="inlineStr">
        <is>
          <t>Regle d'or : CEE + Fonds Chaleur cumulables sous condition (eviter double subvention sur meme equipement). CEE + MPR Copro cumulables. ADVENIR + CEE = pas de cumul direct (ADVENIR est finance par CEE). TVA 5,5% cumul integral. Pret Vert / Eco-PTZ : cumul integral avec primes (financement du reste a charge).</t>
        </is>
      </c>
      <c r="C11" s="50" t="inlineStr">
        <is>
          <t>TRANSVERSAL</t>
        </is>
      </c>
      <c r="D11" s="52" t="inlineStr">
        <is>
          <t>Reference</t>
        </is>
      </c>
    </row>
    <row r="12" ht="90" customHeight="1">
      <c r="A12" s="45" t="inlineStr">
        <is>
          <t>Reflexes facturation</t>
        </is>
      </c>
      <c r="B12" s="46" t="inlineStr">
        <is>
          <t>1) Toujours verifier RGE en cours de validite avant signature client residentiel. 2) Engagement CEE AVANT signature devis sinon perdu. 3) Attestation TVA 5,5% systematique. 4) Mentionner clairement 'travaux eligibles CEE / ADVENIR / Fonds Chaleur' dans le devis. 5) Mandataire CEE choisi en amont (ne pas faire des CEE en interne sauf si volume justifie).</t>
        </is>
      </c>
      <c r="C12" s="47" t="inlineStr">
        <is>
          <t>TRANSVERSAL</t>
        </is>
      </c>
      <c r="D12" s="53" t="inlineStr">
        <is>
          <t>Reference</t>
        </is>
      </c>
    </row>
    <row r="13" ht="90" customHeight="1">
      <c r="A13" s="49" t="inlineStr">
        <is>
          <t>Objection 'C'est trop complique'</t>
        </is>
      </c>
      <c r="B13" s="36" t="inlineStr">
        <is>
          <t>« Justement - nous gerons les dossiers d'aide pour vous. Notre partenaire CEE/Mandataire monte les dossiers, on fait l'avance, vous touchez la prime. Pour Fonds Chaleur ou ADVENIR, on vous accompagne dans le depot. Cela fait partie de notre offre commerciale. »</t>
        </is>
      </c>
      <c r="C13" s="50" t="inlineStr">
        <is>
          <t>TOUS</t>
        </is>
      </c>
      <c r="D13" s="52" t="inlineStr">
        <is>
          <t>Reference</t>
        </is>
      </c>
    </row>
    <row r="14" ht="90" customHeight="1">
      <c r="A14" s="45" t="inlineStr">
        <is>
          <t>Objection 'On a deja un installateur'</t>
        </is>
      </c>
      <c r="B14" s="46" t="inlineStr">
        <is>
          <t>« Sur les aides, nous reconnaissons que ce n'est pas un sujet de prix mais d'expertise du financement. Un audit gratuit du potentiel d'aides sur vos batiments peut faire emerger 50-150k EUR de financement non capte. Pas d'engagement. »</t>
        </is>
      </c>
      <c r="C14" s="47" t="inlineStr">
        <is>
          <t>TOUS</t>
        </is>
      </c>
      <c r="D14" s="53" t="inlineStr">
        <is>
          <t>Reference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40" customWidth="1" min="4" max="4"/>
    <col width="45" customWidth="1" min="5" max="5"/>
  </cols>
  <sheetData>
    <row r="1" ht="30" customHeight="1">
      <c r="A1" s="13" t="inlineStr">
        <is>
          <t>FICHES CEE STANDARDISEES - DETAILS TECHNIQUES</t>
        </is>
      </c>
    </row>
    <row r="2">
      <c r="A2" s="37" t="inlineStr">
        <is>
          <t>Liste resserree des fiches CEE les plus utilisees pour les chantiers HUARD. Source officielle : ecologie.gouv.fr</t>
        </is>
      </c>
    </row>
    <row r="4" ht="30" customHeight="1">
      <c r="A4" s="15" t="inlineStr">
        <is>
          <t>Fiche</t>
        </is>
      </c>
      <c r="B4" s="15" t="inlineStr">
        <is>
          <t>Intitule</t>
        </is>
      </c>
      <c r="C4" s="15" t="inlineStr">
        <is>
          <t>Secteur</t>
        </is>
      </c>
      <c r="D4" s="15" t="inlineStr">
        <is>
          <t>Usage type HUARD</t>
        </is>
      </c>
      <c r="E4" s="15" t="inlineStr">
        <is>
          <t>Notes / pieges</t>
        </is>
      </c>
    </row>
    <row r="5" ht="35" customHeight="1">
      <c r="A5" s="45" t="inlineStr">
        <is>
          <t>BAT-EQ-127</t>
        </is>
      </c>
      <c r="B5" s="46" t="inlineStr">
        <is>
          <t>Luminaire a modules LED (tertiaire)</t>
        </is>
      </c>
      <c r="C5" s="46" t="inlineStr">
        <is>
          <t>Tertiaire</t>
        </is>
      </c>
      <c r="D5" s="46" t="inlineStr">
        <is>
          <t>Relamping bureaux, commerces, parkings couverts</t>
        </is>
      </c>
      <c r="E5" s="46" t="inlineStr">
        <is>
          <t>Verifier efficacite &gt;= 130 lm/W et systeme de gestion (sinon BAT-EQ-117/133 a coupler)</t>
        </is>
      </c>
    </row>
    <row r="6" ht="35" customHeight="1">
      <c r="A6" s="49" t="inlineStr">
        <is>
          <t>BAT-EQ-133</t>
        </is>
      </c>
      <c r="B6" s="36" t="inlineStr">
        <is>
          <t>Systeme de gestion de l'eclairage</t>
        </is>
      </c>
      <c r="C6" s="36" t="inlineStr">
        <is>
          <t>Tertiaire</t>
        </is>
      </c>
      <c r="D6" s="36" t="inlineStr">
        <is>
          <t>DALI/KNX, detecteurs presence</t>
        </is>
      </c>
      <c r="E6" s="36" t="inlineStr">
        <is>
          <t>A coupler avec BAT-EQ-127 pour effet de levier max</t>
        </is>
      </c>
    </row>
    <row r="7" ht="35" customHeight="1">
      <c r="A7" s="45" t="inlineStr">
        <is>
          <t>BAT-EQ-117</t>
        </is>
      </c>
      <c r="B7" s="46" t="inlineStr">
        <is>
          <t>Variation puissance eclairage exterieur</t>
        </is>
      </c>
      <c r="C7" s="46" t="inlineStr">
        <is>
          <t>Tertiaire</t>
        </is>
      </c>
      <c r="D7" s="46" t="inlineStr">
        <is>
          <t>Parkings exterieurs, eclairage site</t>
        </is>
      </c>
      <c r="E7" s="46" t="inlineStr">
        <is>
          <t>Variation par paliers ou horloge - asservissement effectif</t>
        </is>
      </c>
    </row>
    <row r="8" ht="35" customHeight="1">
      <c r="A8" s="49" t="inlineStr">
        <is>
          <t>BAT-TH-104</t>
        </is>
      </c>
      <c r="B8" s="36" t="inlineStr">
        <is>
          <t>Pompe a chaleur (PAC) air/eau, eau/eau</t>
        </is>
      </c>
      <c r="C8" s="36" t="inlineStr">
        <is>
          <t>Tertiaire</t>
        </is>
      </c>
      <c r="D8" s="36" t="inlineStr">
        <is>
          <t>Remplacement chaudieres fioul/gaz copro et tertiaire</t>
        </is>
      </c>
      <c r="E8" s="36" t="inlineStr">
        <is>
          <t>SCOP minimal selon t emperature - bonifie sortie fioul</t>
        </is>
      </c>
    </row>
    <row r="9" ht="35" customHeight="1">
      <c r="A9" s="45" t="inlineStr">
        <is>
          <t>BAT-TH-113</t>
        </is>
      </c>
      <c r="B9" s="46" t="inlineStr">
        <is>
          <t>PAC a absorption gaz</t>
        </is>
      </c>
      <c r="C9" s="46" t="inlineStr">
        <is>
          <t>Tertiaire</t>
        </is>
      </c>
      <c r="D9" s="46" t="inlineStr">
        <is>
          <t>Sites avec ressource gaz</t>
        </is>
      </c>
      <c r="E9" s="46" t="inlineStr">
        <is>
          <t>Moins courant - verifier rentabilite</t>
        </is>
      </c>
    </row>
    <row r="10" ht="35" customHeight="1">
      <c r="A10" s="49" t="inlineStr">
        <is>
          <t>BAT-TH-116</t>
        </is>
      </c>
      <c r="B10" s="36" t="inlineStr">
        <is>
          <t>GTB (Gestion Technique du Batiment) classe A/B</t>
        </is>
      </c>
      <c r="C10" s="36" t="inlineStr">
        <is>
          <t>Tertiaire</t>
        </is>
      </c>
      <c r="D10" s="36" t="inlineStr">
        <is>
          <t>Pilotage CVC + eclairage + ECS - decret BACS</t>
        </is>
      </c>
      <c r="E10" s="36" t="inlineStr">
        <is>
          <t>Classe A/B obligatoire - certification de la solution</t>
        </is>
      </c>
    </row>
    <row r="11" ht="35" customHeight="1">
      <c r="A11" s="45" t="inlineStr">
        <is>
          <t>BAT-TH-125</t>
        </is>
      </c>
      <c r="B11" s="46" t="inlineStr">
        <is>
          <t>Ventilation double flux haute efficacite</t>
        </is>
      </c>
      <c r="C11" s="46" t="inlineStr">
        <is>
          <t>Tertiaire</t>
        </is>
      </c>
      <c r="D11" s="46" t="inlineStr">
        <is>
          <t>Bureaux, ecoles, ehpad</t>
        </is>
      </c>
      <c r="E11" s="46" t="inlineStr">
        <is>
          <t>Echangeur &gt;= 75% - filtre F7 - moteur ECM</t>
        </is>
      </c>
    </row>
    <row r="12" ht="35" customHeight="1">
      <c r="A12" s="49" t="inlineStr">
        <is>
          <t>BAT-TH-127</t>
        </is>
      </c>
      <c r="B12" s="36" t="inlineStr">
        <is>
          <t>Raccordement reseau de chaleur EnR&amp;R &gt; 50%</t>
        </is>
      </c>
      <c r="C12" s="36" t="inlineStr">
        <is>
          <t>Tertiaire</t>
        </is>
      </c>
      <c r="D12" s="36" t="inlineStr">
        <is>
          <t>Copro et tertiaire raccordable</t>
        </is>
      </c>
      <c r="E12" s="36" t="inlineStr">
        <is>
          <t>Verifier taux EnR du reseau (declaration ADEME)</t>
        </is>
      </c>
    </row>
    <row r="13" ht="35" customHeight="1">
      <c r="A13" s="45" t="inlineStr">
        <is>
          <t>BAT-TH-141</t>
        </is>
      </c>
      <c r="B13" s="46" t="inlineStr">
        <is>
          <t>Programmation/regulation chauffage</t>
        </is>
      </c>
      <c r="C13" s="46" t="inlineStr">
        <is>
          <t>Tertiaire</t>
        </is>
      </c>
      <c r="D13" s="46" t="inlineStr">
        <is>
          <t>Reglage horloge / programmateur</t>
        </is>
      </c>
      <c r="E13" s="46" t="inlineStr">
        <is>
          <t>Action complementaire systematique</t>
        </is>
      </c>
    </row>
    <row r="14" ht="35" customHeight="1">
      <c r="A14" s="49" t="inlineStr">
        <is>
          <t>BAT-TH-145</t>
        </is>
      </c>
      <c r="B14" s="36" t="inlineStr">
        <is>
          <t>Isolation reseau (calorifugeage)</t>
        </is>
      </c>
      <c r="C14" s="36" t="inlineStr">
        <is>
          <t>Tertiaire</t>
        </is>
      </c>
      <c r="D14" s="36" t="inlineStr">
        <is>
          <t>Reseaux ECS et chauffage chaufferie</t>
        </is>
      </c>
      <c r="E14" s="36" t="inlineStr">
        <is>
          <t>Classes d'isolation - linaire de reseau</t>
        </is>
      </c>
    </row>
    <row r="15" ht="35" customHeight="1">
      <c r="A15" s="45" t="inlineStr">
        <is>
          <t>BAT-TH-146</t>
        </is>
      </c>
      <c r="B15" s="46" t="inlineStr">
        <is>
          <t>Calorifugeage points singuliers</t>
        </is>
      </c>
      <c r="C15" s="46" t="inlineStr">
        <is>
          <t>Tertiaire</t>
        </is>
      </c>
      <c r="D15" s="46" t="inlineStr">
        <is>
          <t>Vannes, brides, pompes chaufferie</t>
        </is>
      </c>
      <c r="E15" s="46" t="inlineStr">
        <is>
          <t>Action recurrente facile a vendre en contrats P2/P3</t>
        </is>
      </c>
    </row>
    <row r="16" ht="35" customHeight="1">
      <c r="A16" s="49" t="inlineStr">
        <is>
          <t>BAT-EN-101</t>
        </is>
      </c>
      <c r="B16" s="36" t="inlineStr">
        <is>
          <t>Isolation combles/toitures tertiaires</t>
        </is>
      </c>
      <c r="C16" s="36" t="inlineStr">
        <is>
          <t>Tertiaire</t>
        </is>
      </c>
      <c r="D16" s="36" t="inlineStr">
        <is>
          <t>Bati existant tertiaire</t>
        </is>
      </c>
      <c r="E16" s="36" t="inlineStr">
        <is>
          <t>R minimum selon zone</t>
        </is>
      </c>
    </row>
    <row r="17" ht="35" customHeight="1">
      <c r="A17" s="45" t="inlineStr">
        <is>
          <t>BAT-EN-103</t>
        </is>
      </c>
      <c r="B17" s="46" t="inlineStr">
        <is>
          <t>Isolation murs</t>
        </is>
      </c>
      <c r="C17" s="46" t="inlineStr">
        <is>
          <t>Tertiaire</t>
        </is>
      </c>
      <c r="D17" s="46" t="inlineStr">
        <is>
          <t>ITE ou ITI</t>
        </is>
      </c>
      <c r="E17" s="46" t="inlineStr">
        <is>
          <t>R minimum, performance attestee</t>
        </is>
      </c>
    </row>
    <row r="18" ht="35" customHeight="1">
      <c r="A18" s="49" t="inlineStr">
        <is>
          <t>IND-UT-103</t>
        </is>
      </c>
      <c r="B18" s="36" t="inlineStr">
        <is>
          <t>Variateur electronique de vitesse (VEV)</t>
        </is>
      </c>
      <c r="C18" s="36" t="inlineStr">
        <is>
          <t>Industrie</t>
        </is>
      </c>
      <c r="D18" s="36" t="inlineStr">
        <is>
          <t>Sites industriels - moteurs pompes/ventilo/compresseurs</t>
        </is>
      </c>
      <c r="E18" s="36" t="inlineStr">
        <is>
          <t>Charge variable indispensable - tres bon ROI</t>
        </is>
      </c>
    </row>
    <row r="19" ht="35" customHeight="1">
      <c r="A19" s="45" t="inlineStr">
        <is>
          <t>IND-UT-117</t>
        </is>
      </c>
      <c r="B19" s="46" t="inlineStr">
        <is>
          <t>Recuperation chaleur compresseur air</t>
        </is>
      </c>
      <c r="C19" s="46" t="inlineStr">
        <is>
          <t>Industrie</t>
        </is>
      </c>
      <c r="D19" s="46" t="inlineStr">
        <is>
          <t>Sites avec air comprime continu</t>
        </is>
      </c>
      <c r="E19" s="46" t="inlineStr">
        <is>
          <t>Cumul Fonds Chaleur sur chaleur fatale</t>
        </is>
      </c>
    </row>
    <row r="20" ht="35" customHeight="1">
      <c r="A20" s="49" t="inlineStr">
        <is>
          <t>IND-UT-102</t>
        </is>
      </c>
      <c r="B20" s="36" t="inlineStr">
        <is>
          <t>Recuperation chaleur groupe froid</t>
        </is>
      </c>
      <c r="C20" s="36" t="inlineStr">
        <is>
          <t>Industrie</t>
        </is>
      </c>
      <c r="D20" s="36" t="inlineStr">
        <is>
          <t>Industries agroalimentaires, datacenter</t>
        </is>
      </c>
      <c r="E20" s="36" t="inlineStr">
        <is>
          <t>Verifier reutilisation effective</t>
        </is>
      </c>
    </row>
    <row r="21" ht="35" customHeight="1">
      <c r="A21" s="45" t="inlineStr">
        <is>
          <t>IND-UT-121</t>
        </is>
      </c>
      <c r="B21" s="46" t="inlineStr">
        <is>
          <t>Matelas isolant points singuliers industriels</t>
        </is>
      </c>
      <c r="C21" s="46" t="inlineStr">
        <is>
          <t>Industrie</t>
        </is>
      </c>
      <c r="D21" s="46" t="inlineStr">
        <is>
          <t>Reseaux vapeur, chaud</t>
        </is>
      </c>
      <c r="E21" s="46" t="inlineStr">
        <is>
          <t>Demontable - economique</t>
        </is>
      </c>
    </row>
    <row r="22" ht="35" customHeight="1">
      <c r="A22" s="49" t="inlineStr">
        <is>
          <t>BAR-TH-104</t>
        </is>
      </c>
      <c r="B22" s="36" t="inlineStr">
        <is>
          <t>PAC air/eau, eau/eau (logements collectifs et individuels)</t>
        </is>
      </c>
      <c r="C22" s="36" t="inlineStr">
        <is>
          <t>Residentiel</t>
        </is>
      </c>
      <c r="D22" s="36" t="inlineStr">
        <is>
          <t>Maisons, copros</t>
        </is>
      </c>
      <c r="E22" s="36" t="inlineStr">
        <is>
          <t>RGE obligatoire - bonifications coup de pouce</t>
        </is>
      </c>
    </row>
    <row r="23" ht="35" customHeight="1">
      <c r="A23" s="45" t="inlineStr">
        <is>
          <t>BAR-EN-101</t>
        </is>
      </c>
      <c r="B23" s="46" t="inlineStr">
        <is>
          <t>Isolation combles residentiel</t>
        </is>
      </c>
      <c r="C23" s="46" t="inlineStr">
        <is>
          <t>Residentiel</t>
        </is>
      </c>
      <c r="D23" s="46" t="inlineStr">
        <is>
          <t>Maisons individuelles, dernier etage copro</t>
        </is>
      </c>
      <c r="E23" s="46" t="inlineStr">
        <is>
          <t>Tres utilisee, baremes coup de pouce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0" customWidth="1" min="2" max="2"/>
    <col width="30" customWidth="1" min="3" max="3"/>
  </cols>
  <sheetData>
    <row r="1" ht="30" customHeight="1">
      <c r="A1" s="13" t="inlineStr">
        <is>
          <t>DECRET TERTIAIRE (DEET) - OPPORTUNITE COMMERCIALE N 1</t>
        </is>
      </c>
    </row>
    <row r="2">
      <c r="A2" s="37" t="inlineStr">
        <is>
          <t>Source : Decret n 2019-771 du 23 juillet 2019. Plateforme : OPERAT (ADEME).</t>
        </is>
      </c>
    </row>
    <row r="4">
      <c r="A4" s="5" t="inlineStr">
        <is>
          <t>Sujet</t>
        </is>
      </c>
      <c r="B4" s="5" t="inlineStr">
        <is>
          <t>Description</t>
        </is>
      </c>
      <c r="C4" s="5" t="inlineStr">
        <is>
          <t>Notes</t>
        </is>
      </c>
    </row>
    <row r="5" ht="55" customHeight="1">
      <c r="A5" s="54" t="inlineStr">
        <is>
          <t>Qui est concerne ?</t>
        </is>
      </c>
      <c r="B5" s="36" t="inlineStr">
        <is>
          <t>Tous batiments / parties de batiment a usage tertiaire de surface plancher &gt;= 1000 m2 - en France metropolitaine et outre-mer.</t>
        </is>
      </c>
      <c r="C5" s="36" t="inlineStr"/>
    </row>
    <row r="6" ht="55" customHeight="1">
      <c r="A6" s="54" t="inlineStr">
        <is>
          <t>Quels usages ?</t>
        </is>
      </c>
      <c r="B6" s="36" t="inlineStr">
        <is>
          <t>Bureaux, commerces, hotels, restaurants, sante, enseignement, sport, justice, administration, logistique, services, culture, salles d'audience.</t>
        </is>
      </c>
      <c r="C6" s="36" t="inlineStr"/>
    </row>
    <row r="7" ht="55" customHeight="1">
      <c r="A7" s="54" t="inlineStr">
        <is>
          <t>Objectif</t>
        </is>
      </c>
      <c r="B7" s="36" t="inlineStr">
        <is>
          <t>Reduction conso d'energie finale : -40% en 2030, -50% en 2040, -60% en 2050. Reference : annee comprise entre 2010 et 2019.</t>
        </is>
      </c>
      <c r="C7" s="36" t="inlineStr"/>
    </row>
    <row r="8" ht="55" customHeight="1">
      <c r="A8" s="54" t="inlineStr">
        <is>
          <t>Methode Crelat</t>
        </is>
      </c>
      <c r="B8" s="36" t="inlineStr">
        <is>
          <t>Reduction relative par rapport a l'annee de reference choisie.</t>
        </is>
      </c>
      <c r="C8" s="36" t="inlineStr"/>
    </row>
    <row r="9" ht="55" customHeight="1">
      <c r="A9" s="54" t="inlineStr">
        <is>
          <t>Methode Cabs</t>
        </is>
      </c>
      <c r="B9" s="36" t="inlineStr">
        <is>
          <t>Valeur absolue exprimee en kWh/m2/an, etablie par arrete (annexe specifique a chaque categorie d'activite).</t>
        </is>
      </c>
      <c r="C9" s="36" t="inlineStr"/>
    </row>
    <row r="10" ht="55" customHeight="1">
      <c r="A10" s="54" t="inlineStr">
        <is>
          <t>Declaration annuelle</t>
        </is>
      </c>
      <c r="B10" s="36" t="inlineStr">
        <is>
          <t>Plateforme OPERAT (ADEME). Echeance : 30 septembre N+1 pour declarer les consos de l'annee N. Premiere echeance ferme 30/09/2022 pour donnees 2020+2021+annee de reference.</t>
        </is>
      </c>
      <c r="C10" s="36" t="inlineStr"/>
    </row>
    <row r="11" ht="55" customHeight="1">
      <c r="A11" s="54" t="inlineStr">
        <is>
          <t>Sanctions</t>
        </is>
      </c>
      <c r="B11" s="36" t="inlineStr">
        <is>
          <t>Mise en demeure - amende administrative 1500 EUR (particulier), 7500 EUR (personne morale) - publication des contrevenants ('name and shame').</t>
        </is>
      </c>
      <c r="C11" s="36" t="inlineStr"/>
    </row>
    <row r="12" ht="55" customHeight="1">
      <c r="A12" s="54" t="inlineStr">
        <is>
          <t>Modulation des objectifs</t>
        </is>
      </c>
      <c r="B12" s="36" t="inlineStr">
        <is>
          <t>Possible (dossier technique) si contraintes : architecture, patrimoine, couts disproportionnes, changement d'activite.</t>
        </is>
      </c>
      <c r="C12" s="36" t="inlineStr"/>
    </row>
    <row r="13" ht="55" customHeight="1">
      <c r="A13" s="54" t="inlineStr">
        <is>
          <t>Levier commercial HUARD</t>
        </is>
      </c>
      <c r="B13" s="36" t="inlineStr">
        <is>
          <t>1) Audit gratuit OPERAT du client. 2) Identifier le delta vs objectif 2030. 3) Construire un plan d'actions 'CVC + eclairage + GTB + EnR' chiffre. 4) Trouver le financement (CEE bonifies + Coup de pouce tertiaire + Fonds Chaleur + Region IDF). 5) Realiser les travaux. 6) Mesure &amp; suivi via GTB (lien avec contrat maintenance HUARD).</t>
        </is>
      </c>
      <c r="C13" s="36" t="inlineStr"/>
    </row>
    <row r="14" ht="55" customHeight="1">
      <c r="A14" s="54" t="inlineStr">
        <is>
          <t>Cible prioritaire</t>
        </is>
      </c>
      <c r="B14" s="36" t="inlineStr">
        <is>
          <t>Bureaux et commerces &gt; 1000 m2 en IDF qui n'ont pas encore declare. Hopitaux, ehpad, hotels, ecoles, centres commerciaux, logistique. Verifier sur OPERAT le statut declaratif (donnees publiques).</t>
        </is>
      </c>
      <c r="C14" s="36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45" customWidth="1" min="4" max="4"/>
    <col width="40" customWidth="1" min="5" max="5"/>
  </cols>
  <sheetData>
    <row r="1" ht="30" customHeight="1">
      <c r="A1" s="13" t="inlineStr">
        <is>
          <t>DISPOSITIFS ILE-DE-FRANCE - SPECIFIQUE TERRITOIRE</t>
        </is>
      </c>
    </row>
    <row r="3" ht="28" customHeight="1">
      <c r="A3" s="5" t="inlineStr">
        <is>
          <t>Dispositif</t>
        </is>
      </c>
      <c r="B3" s="5" t="inlineStr">
        <is>
          <t>Operateur</t>
        </is>
      </c>
      <c r="C3" s="5" t="inlineStr">
        <is>
          <t>Cible</t>
        </is>
      </c>
      <c r="D3" s="5" t="inlineStr">
        <is>
          <t>Aide</t>
        </is>
      </c>
      <c r="E3" s="5" t="inlineStr">
        <is>
          <t>Lien</t>
        </is>
      </c>
    </row>
    <row r="4" ht="38" customHeight="1">
      <c r="A4" s="46" t="inlineStr">
        <is>
          <t>Aide Region IDF - efficacite energetique entreprises</t>
        </is>
      </c>
      <c r="B4" s="46" t="inlineStr">
        <is>
          <t>Region IDF</t>
        </is>
      </c>
      <c r="C4" s="46" t="inlineStr">
        <is>
          <t>PME/ETI</t>
        </is>
      </c>
      <c r="D4" s="46" t="inlineStr">
        <is>
          <t>Subvention plafonnee (regime de minimis 200000 EUR/3 ans)</t>
        </is>
      </c>
      <c r="E4" s="21" t="inlineStr">
        <is>
          <t>https://www.iledefrance.fr</t>
        </is>
      </c>
    </row>
    <row r="5" ht="38" customHeight="1">
      <c r="A5" s="36" t="inlineStr">
        <is>
          <t>Energies POSIT'IF</t>
        </is>
      </c>
      <c r="B5" s="36" t="inlineStr">
        <is>
          <t>SEM IDF</t>
        </is>
      </c>
      <c r="C5" s="36" t="inlineStr">
        <is>
          <t>Coproprietes IDF</t>
        </is>
      </c>
      <c r="D5" s="36" t="inlineStr">
        <is>
          <t>Tiers-financement renovation globale + AMOA</t>
        </is>
      </c>
      <c r="E5" s="18" t="inlineStr">
        <is>
          <t>https://www.energiespositif.fr</t>
        </is>
      </c>
    </row>
    <row r="6" ht="38" customHeight="1">
      <c r="A6" s="46" t="inlineStr">
        <is>
          <t>Fonds d'investissement metropolitain (FIM)</t>
        </is>
      </c>
      <c r="B6" s="46" t="inlineStr">
        <is>
          <t>Metropole du Grand Paris</t>
        </is>
      </c>
      <c r="C6" s="46" t="inlineStr">
        <is>
          <t>Communes/EPT MGP</t>
        </is>
      </c>
      <c r="D6" s="46" t="inlineStr">
        <is>
          <t>Subvention equipements publics</t>
        </is>
      </c>
      <c r="E6" s="21" t="inlineStr">
        <is>
          <t>https://www.metropolegrandparis.fr</t>
        </is>
      </c>
    </row>
    <row r="7" ht="38" customHeight="1">
      <c r="A7" s="36" t="inlineStr">
        <is>
          <t>Aides Departement 91 / 78 / 92 / 94</t>
        </is>
      </c>
      <c r="B7" s="36" t="inlineStr">
        <is>
          <t>CD91, CD78, CD92, CD94</t>
        </is>
      </c>
      <c r="C7" s="36" t="inlineStr">
        <is>
          <t>Communes, copros, particuliers (selon CD)</t>
        </is>
      </c>
      <c r="D7" s="36" t="inlineStr">
        <is>
          <t>Subventions ponctuelles - varier selon AAP</t>
        </is>
      </c>
      <c r="E7" s="36" t="inlineStr">
        <is>
          <t>Site de chaque CD</t>
        </is>
      </c>
    </row>
    <row r="8" ht="38" customHeight="1">
      <c r="A8" s="46" t="inlineStr">
        <is>
          <t>Plan SESAME / aides developpement economique vert</t>
        </is>
      </c>
      <c r="B8" s="46" t="inlineStr">
        <is>
          <t>Region IDF + Bpifrance</t>
        </is>
      </c>
      <c r="C8" s="46" t="inlineStr">
        <is>
          <t>PME industrielles IDF</t>
        </is>
      </c>
      <c r="D8" s="46" t="inlineStr">
        <is>
          <t>Pret bonifie + subvention</t>
        </is>
      </c>
      <c r="E8" s="21" t="inlineStr">
        <is>
          <t>https://www.iledefrance.fr</t>
        </is>
      </c>
    </row>
    <row r="9" ht="38" customHeight="1">
      <c r="A9" s="36" t="inlineStr">
        <is>
          <t>ADEME Direction regionale IDF - appels a projets territoriaux</t>
        </is>
      </c>
      <c r="B9" s="36" t="inlineStr">
        <is>
          <t>ADEME IDF</t>
        </is>
      </c>
      <c r="C9" s="36" t="inlineStr">
        <is>
          <t>Entreprises / Collectivites IDF</t>
        </is>
      </c>
      <c r="D9" s="36" t="inlineStr">
        <is>
          <t>Subvention via AAP regionaux Fonds Chaleur, decarbonation</t>
        </is>
      </c>
      <c r="E9" s="18" t="inlineStr">
        <is>
          <t>https://ile-de-france.ademe.fr</t>
        </is>
      </c>
    </row>
    <row r="10" ht="38" customHeight="1">
      <c r="A10" s="46" t="inlineStr">
        <is>
          <t>ARENE Ile-de-France (Institut Paris Region)</t>
        </is>
      </c>
      <c r="B10" s="46" t="inlineStr">
        <is>
          <t>Institut Paris Region</t>
        </is>
      </c>
      <c r="C10" s="46" t="inlineStr">
        <is>
          <t>Collectivites + acteurs IDF</t>
        </is>
      </c>
      <c r="D10" s="46" t="inlineStr">
        <is>
          <t>Accompagnement, etudes, conferences</t>
        </is>
      </c>
      <c r="E10" s="21" t="inlineStr">
        <is>
          <t>https://www.institutparisregion.fr</t>
        </is>
      </c>
    </row>
    <row r="11" ht="38" customHeight="1">
      <c r="A11" s="36" t="inlineStr">
        <is>
          <t>Region IDF - Aide Aero-thermique parc social</t>
        </is>
      </c>
      <c r="B11" s="36" t="inlineStr">
        <is>
          <t>Region IDF</t>
        </is>
      </c>
      <c r="C11" s="36" t="inlineStr">
        <is>
          <t>Bailleurs sociaux IDF</t>
        </is>
      </c>
      <c r="D11" s="36" t="inlineStr">
        <is>
          <t>Subvention sur PAC parc social</t>
        </is>
      </c>
      <c r="E11" s="18" t="inlineStr">
        <is>
          <t>https://www.iledefrance.fr</t>
        </is>
      </c>
    </row>
    <row r="12" ht="38" customHeight="1">
      <c r="A12" s="46" t="inlineStr">
        <is>
          <t>AIRPARIF / aides QAI tertiaire</t>
        </is>
      </c>
      <c r="B12" s="46" t="inlineStr">
        <is>
          <t>Region IDF / ARS</t>
        </is>
      </c>
      <c r="C12" s="46" t="inlineStr">
        <is>
          <t>Tertiaire IDF</t>
        </is>
      </c>
      <c r="D12" s="46" t="inlineStr">
        <is>
          <t>Diagnostic et aide investissement ventilation</t>
        </is>
      </c>
      <c r="E12" s="21" t="inlineStr">
        <is>
          <t>https://www.airparif.asso.fr</t>
        </is>
      </c>
    </row>
  </sheetData>
  <mergeCells count="1"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70" customWidth="1" min="3" max="3"/>
  </cols>
  <sheetData>
    <row r="1" ht="30" customHeight="1">
      <c r="A1" s="13" t="inlineStr">
        <is>
          <t>SOURCES OFFICIELLES ET CONTACTS UTILES</t>
        </is>
      </c>
    </row>
    <row r="3" ht="26" customHeight="1">
      <c r="A3" s="5" t="inlineStr">
        <is>
          <t>Theme</t>
        </is>
      </c>
      <c r="B3" s="5" t="inlineStr">
        <is>
          <t>Reference / Organisme</t>
        </is>
      </c>
      <c r="C3" s="5" t="inlineStr">
        <is>
          <t>Lien</t>
        </is>
      </c>
    </row>
    <row r="4" ht="24" customHeight="1">
      <c r="A4" s="55" t="inlineStr">
        <is>
          <t>CEE - Fiches d'operations standardisees</t>
        </is>
      </c>
      <c r="B4" s="55" t="inlineStr">
        <is>
          <t>Ministere Transition Ecologique</t>
        </is>
      </c>
      <c r="C4" s="56" t="inlineStr">
        <is>
          <t>https://www.ecologie.gouv.fr/operations-standardisees-deconomies-denergie</t>
        </is>
      </c>
    </row>
    <row r="5" ht="24" customHeight="1">
      <c r="A5" s="57" t="inlineStr">
        <is>
          <t>CEE - Coups de pouce</t>
        </is>
      </c>
      <c r="B5" s="57" t="inlineStr">
        <is>
          <t>Ministere Transition Ecologique</t>
        </is>
      </c>
      <c r="C5" s="58" t="inlineStr">
        <is>
          <t>https://www.ecologie.gouv.fr/coup-pouce-economies-denergie</t>
        </is>
      </c>
    </row>
    <row r="6" ht="24" customHeight="1">
      <c r="A6" s="55" t="inlineStr">
        <is>
          <t>Decret Tertiaire (DEET) - OPERAT</t>
        </is>
      </c>
      <c r="B6" s="55" t="inlineStr">
        <is>
          <t>ADEME</t>
        </is>
      </c>
      <c r="C6" s="56" t="inlineStr">
        <is>
          <t>https://operat.ademe.fr</t>
        </is>
      </c>
    </row>
    <row r="7" ht="24" customHeight="1">
      <c r="A7" s="57" t="inlineStr">
        <is>
          <t>Decret BACS</t>
        </is>
      </c>
      <c r="B7" s="57" t="inlineStr">
        <is>
          <t>Ministere Transition Ecologique</t>
        </is>
      </c>
      <c r="C7" s="58" t="inlineStr">
        <is>
          <t>https://www.ecologie.gouv.fr/decret-bacs</t>
        </is>
      </c>
    </row>
    <row r="8" ht="24" customHeight="1">
      <c r="A8" s="55" t="inlineStr">
        <is>
          <t>Loi APER (PV ombrieres / batiments)</t>
        </is>
      </c>
      <c r="B8" s="55" t="inlineStr">
        <is>
          <t>Legifrance</t>
        </is>
      </c>
      <c r="C8" s="56" t="inlineStr">
        <is>
          <t>https://www.legifrance.gouv.fr/jorf/id/JORFTEXT000047283081</t>
        </is>
      </c>
    </row>
    <row r="9" ht="24" customHeight="1">
      <c r="A9" s="57" t="inlineStr">
        <is>
          <t>Tarifs achat PV - arretes tarifaires</t>
        </is>
      </c>
      <c r="B9" s="57" t="inlineStr">
        <is>
          <t>Photovoltaique.info</t>
        </is>
      </c>
      <c r="C9" s="58" t="inlineStr">
        <is>
          <t>https://www.photovoltaique.info/fr/preparer-un-projet/aspects-economiques/tarifs-dachat-et-autoconsommation/</t>
        </is>
      </c>
    </row>
    <row r="10" ht="24" customHeight="1">
      <c r="A10" s="55" t="inlineStr">
        <is>
          <t>EDF Obligation d'Achat (solaire)</t>
        </is>
      </c>
      <c r="B10" s="55" t="inlineStr">
        <is>
          <t>EDF OA</t>
        </is>
      </c>
      <c r="C10" s="56" t="inlineStr">
        <is>
          <t>https://www.edf-oa.fr</t>
        </is>
      </c>
    </row>
    <row r="11" ht="24" customHeight="1">
      <c r="A11" s="57" t="inlineStr">
        <is>
          <t>Fonds Chaleur ADEME</t>
        </is>
      </c>
      <c r="B11" s="57" t="inlineStr">
        <is>
          <t>ADEME</t>
        </is>
      </c>
      <c r="C11" s="58" t="inlineStr">
        <is>
          <t>https://fondschaleur.ademe.fr</t>
        </is>
      </c>
    </row>
    <row r="12" ht="24" customHeight="1">
      <c r="A12" s="55" t="inlineStr">
        <is>
          <t>Programmes ADEME (Tremplin PME, Diag)</t>
        </is>
      </c>
      <c r="B12" s="55" t="inlineStr">
        <is>
          <t>ADEME / Bpifrance</t>
        </is>
      </c>
      <c r="C12" s="56" t="inlineStr">
        <is>
          <t>https://agirpourlatransition.ademe.fr</t>
        </is>
      </c>
    </row>
    <row r="13" ht="24" customHeight="1">
      <c r="A13" s="57" t="inlineStr">
        <is>
          <t>Bpifrance - catalogue offres TEE</t>
        </is>
      </c>
      <c r="B13" s="57" t="inlineStr">
        <is>
          <t>Bpifrance</t>
        </is>
      </c>
      <c r="C13" s="58" t="inlineStr">
        <is>
          <t>https://www.bpifrance.fr/catalogue-offres/transition-ecologique-et-energetique</t>
        </is>
      </c>
    </row>
    <row r="14" ht="24" customHeight="1">
      <c r="A14" s="55" t="inlineStr">
        <is>
          <t>Programme ADVENIR (IRVE)</t>
        </is>
      </c>
      <c r="B14" s="55" t="inlineStr">
        <is>
          <t>Avere-France</t>
        </is>
      </c>
      <c r="C14" s="56" t="inlineStr">
        <is>
          <t>https://advenir.mobi</t>
        </is>
      </c>
    </row>
    <row r="15" ht="24" customHeight="1">
      <c r="A15" s="57" t="inlineStr">
        <is>
          <t>Programme ACTEE (collectivites)</t>
        </is>
      </c>
      <c r="B15" s="57" t="inlineStr">
        <is>
          <t>FNCCR</t>
        </is>
      </c>
      <c r="C15" s="58" t="inlineStr">
        <is>
          <t>https://www.programme-actee.fr</t>
        </is>
      </c>
    </row>
    <row r="16" ht="24" customHeight="1">
      <c r="A16" s="55" t="inlineStr">
        <is>
          <t>Programme OSCAR (ombrieres collectivites)</t>
        </is>
      </c>
      <c r="B16" s="55" t="inlineStr">
        <is>
          <t>Programme OSCAR</t>
        </is>
      </c>
      <c r="C16" s="56" t="inlineStr">
        <is>
          <t>https://www.programme-oscar.fr</t>
        </is>
      </c>
    </row>
    <row r="17" ht="24" customHeight="1">
      <c r="A17" s="57" t="inlineStr">
        <is>
          <t>PRO-SMEn (ISO 50001)</t>
        </is>
      </c>
      <c r="B17" s="57" t="inlineStr">
        <is>
          <t>ATEE</t>
        </is>
      </c>
      <c r="C17" s="58" t="inlineStr">
        <is>
          <t>https://www.pro-smen.org</t>
        </is>
      </c>
    </row>
    <row r="18" ht="24" customHeight="1">
      <c r="A18" s="55" t="inlineStr">
        <is>
          <t>MaPrimeRenov / France Renov</t>
        </is>
      </c>
      <c r="B18" s="55" t="inlineStr">
        <is>
          <t>Anah / France Renov</t>
        </is>
      </c>
      <c r="C18" s="56" t="inlineStr">
        <is>
          <t>https://france-renov.gouv.fr</t>
        </is>
      </c>
    </row>
    <row r="19" ht="24" customHeight="1">
      <c r="A19" s="57" t="inlineStr">
        <is>
          <t>Region Ile-de-France - aides transition</t>
        </is>
      </c>
      <c r="B19" s="57" t="inlineStr">
        <is>
          <t>Region IDF</t>
        </is>
      </c>
      <c r="C19" s="58" t="inlineStr">
        <is>
          <t>https://www.iledefrance.fr/aides-services/transition-energetique</t>
        </is>
      </c>
    </row>
    <row r="20" ht="24" customHeight="1">
      <c r="A20" s="55" t="inlineStr">
        <is>
          <t>Energies POSIT'IF (copro IDF)</t>
        </is>
      </c>
      <c r="B20" s="55" t="inlineStr">
        <is>
          <t>SEM IDF</t>
        </is>
      </c>
      <c r="C20" s="56" t="inlineStr">
        <is>
          <t>https://www.energiespositif.fr</t>
        </is>
      </c>
    </row>
    <row r="21" ht="24" customHeight="1">
      <c r="A21" s="57" t="inlineStr">
        <is>
          <t>Metropole du Grand Paris</t>
        </is>
      </c>
      <c r="B21" s="57" t="inlineStr">
        <is>
          <t>MGP</t>
        </is>
      </c>
      <c r="C21" s="58" t="inlineStr">
        <is>
          <t>https://www.metropolegrandparis.fr</t>
        </is>
      </c>
    </row>
    <row r="22" ht="24" customHeight="1">
      <c r="A22" s="55" t="inlineStr">
        <is>
          <t>ADEME Ile-de-France</t>
        </is>
      </c>
      <c r="B22" s="55" t="inlineStr">
        <is>
          <t>ADEME</t>
        </is>
      </c>
      <c r="C22" s="56" t="inlineStr">
        <is>
          <t>https://ile-de-france.ademe.fr</t>
        </is>
      </c>
    </row>
    <row r="23" ht="24" customHeight="1">
      <c r="A23" s="57" t="inlineStr">
        <is>
          <t>Institut Paris Region (ex-ARENE)</t>
        </is>
      </c>
      <c r="B23" s="57" t="inlineStr">
        <is>
          <t>IPR</t>
        </is>
      </c>
      <c r="C23" s="58" t="inlineStr">
        <is>
          <t>https://www.institutparisregion.fr</t>
        </is>
      </c>
    </row>
    <row r="24" ht="24" customHeight="1">
      <c r="A24" s="55" t="inlineStr">
        <is>
          <t>Photovoltaique info (ressource technique)</t>
        </is>
      </c>
      <c r="B24" s="55" t="inlineStr">
        <is>
          <t>Hespul</t>
        </is>
      </c>
      <c r="C24" s="56" t="inlineStr">
        <is>
          <t>https://www.photovoltaique.info</t>
        </is>
      </c>
    </row>
    <row r="25" ht="24" customHeight="1">
      <c r="A25" s="57" t="inlineStr">
        <is>
          <t>AQC - Agence Qualite Construction</t>
        </is>
      </c>
      <c r="B25" s="57" t="inlineStr">
        <is>
          <t>AQC</t>
        </is>
      </c>
      <c r="C25" s="58" t="inlineStr">
        <is>
          <t>https://qualiteconstruction.com</t>
        </is>
      </c>
    </row>
    <row r="26" ht="24" customHeight="1">
      <c r="A26" s="55" t="inlineStr">
        <is>
          <t>Annuaire RGE / Qualibat</t>
        </is>
      </c>
      <c r="B26" s="55" t="inlineStr">
        <is>
          <t>Qualibat</t>
        </is>
      </c>
      <c r="C26" s="56" t="inlineStr">
        <is>
          <t>https://www.qualibat.com</t>
        </is>
      </c>
    </row>
    <row r="27" ht="24" customHeight="1">
      <c r="A27" s="57" t="inlineStr">
        <is>
          <t>Annuaire Qualifelec (electricite, IRVE, PV)</t>
        </is>
      </c>
      <c r="B27" s="57" t="inlineStr">
        <is>
          <t>Qualifelec</t>
        </is>
      </c>
      <c r="C27" s="58" t="inlineStr">
        <is>
          <t>https://www.qualifelec.fr</t>
        </is>
      </c>
    </row>
    <row r="28" ht="24" customHeight="1">
      <c r="A28" s="55" t="inlineStr">
        <is>
          <t>Annuaire QualiPV</t>
        </is>
      </c>
      <c r="B28" s="55" t="inlineStr">
        <is>
          <t>Qualit'EnR</t>
        </is>
      </c>
      <c r="C28" s="56" t="inlineStr">
        <is>
          <t>https://www.qualit-enr.org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6" customWidth="1" min="4" max="4"/>
    <col width="50" customWidth="1" min="5" max="5"/>
    <col width="38" customWidth="1" min="6" max="6"/>
    <col width="38" customWidth="1" min="7" max="7"/>
  </cols>
  <sheetData>
    <row r="1" ht="30" customHeight="1">
      <c r="A1" s="13" t="inlineStr">
        <is>
          <t>PLAN ADMINISTRATIF - PROCESS HUARD DE MONTAGE DES AIDES CLIENT</t>
        </is>
      </c>
    </row>
    <row r="2">
      <c r="A2" s="14" t="inlineStr">
        <is>
          <t>Pipeline en 6 phases - de la detection a l'encaissement de l'aide par le client. RACI et delais cibles.</t>
        </is>
      </c>
    </row>
    <row r="4" ht="36" customHeight="1">
      <c r="A4" s="5" t="inlineStr">
        <is>
          <t>Phase</t>
        </is>
      </c>
      <c r="B4" s="5" t="inlineStr">
        <is>
          <t>Delai cible</t>
        </is>
      </c>
      <c r="C4" s="5" t="inlineStr">
        <is>
          <t>Responsable interne</t>
        </is>
      </c>
      <c r="D4" s="5" t="inlineStr">
        <is>
          <t>Acteurs externes</t>
        </is>
      </c>
      <c r="E4" s="5" t="inlineStr">
        <is>
          <t>Actions cles</t>
        </is>
      </c>
      <c r="F4" s="5" t="inlineStr">
        <is>
          <t>Pieces a produire</t>
        </is>
      </c>
      <c r="G4" s="5" t="inlineStr">
        <is>
          <t>Point critique</t>
        </is>
      </c>
    </row>
    <row r="5" ht="145" customHeight="1">
      <c r="A5" s="59" t="inlineStr">
        <is>
          <t>PHASE 1
DETECTION &amp; QUALIFICATION</t>
        </is>
      </c>
      <c r="B5" s="36" t="inlineStr">
        <is>
          <t>J0 - J+2</t>
        </is>
      </c>
      <c r="C5" s="36" t="inlineStr">
        <is>
          <t>Commercial terrain</t>
        </is>
      </c>
      <c r="D5" s="36" t="inlineStr">
        <is>
          <t>Client (decideur / DAF / syndic / responsable patrimoine)</t>
        </is>
      </c>
      <c r="E5" s="36" t="inlineStr">
        <is>
          <t>1. Visite ou RDV de qualification
2. Identification du potentiel d'aides via la grille 'Eligibilite clients'
3. Consultation OPERAT si tertiaire &gt; 1000 m2
4. Verification : batiment &gt; 2 ans, RGE applicable, profil client</t>
        </is>
      </c>
      <c r="F5" s="36" t="inlineStr">
        <is>
          <t>Fiche d'opportunite client (template HUARD)
Grille de qualification d'eligibilite
Note OPERAT si DEET</t>
        </is>
      </c>
      <c r="G5" s="60" t="inlineStr">
        <is>
          <t>Ne JAMAIS signer de devis avant engagement CEE - sinon prime perdue.</t>
        </is>
      </c>
    </row>
    <row r="6" ht="145" customHeight="1">
      <c r="A6" s="61" t="inlineStr">
        <is>
          <t>PHASE 2
PRE-ETUDE &amp; CHIFFRAGE</t>
        </is>
      </c>
      <c r="B6" s="36" t="inlineStr">
        <is>
          <t>J+3 - J+10</t>
        </is>
      </c>
      <c r="C6" s="36" t="inlineStr">
        <is>
          <t>Charge d'affaires + Referent aides HUARD</t>
        </is>
      </c>
      <c r="D6" s="36" t="inlineStr">
        <is>
          <t>Mandataire CEE partenaire
BE thermique si audit</t>
        </is>
      </c>
      <c r="E6" s="36" t="inlineStr">
        <is>
          <t>1. Visite technique chiffrage
2. Calcul des aides : CEE (simulateur partenaire), Coup de pouce, Fonds Chaleur, ADVENIR, MPR Copro, Region
3. Construction note d'opportunite chiffree (cout HT - aides - reste a charge - ROI)
4. Choix du dispositif optimal (cumul vs exclusion)</t>
        </is>
      </c>
      <c r="F6" s="36" t="inlineStr">
        <is>
          <t>Note d'opportunite chiffree
Devis pre-detaille
Simulation CEE / ADVENIR / Fonds Chaleur</t>
        </is>
      </c>
      <c r="G6" s="60" t="inlineStr">
        <is>
          <t>Verifier le cumul : ADVENIR ne se cumule pas avec CEE - choisir la voie. Bonification Coup de pouce a engager avant fin de charte.</t>
        </is>
      </c>
    </row>
    <row r="7" ht="145" customHeight="1">
      <c r="A7" s="15" t="inlineStr">
        <is>
          <t>PHASE 3
CONSTITUTION DU DOSSIER</t>
        </is>
      </c>
      <c r="B7" s="36" t="inlineStr">
        <is>
          <t>J+10 - J+20</t>
        </is>
      </c>
      <c r="C7" s="36" t="inlineStr">
        <is>
          <t>Service aides HUARD (referent administratif)</t>
        </is>
      </c>
      <c r="D7" s="36" t="inlineStr">
        <is>
          <t>Mandataire CEE / EDF OA / ADEME / Bpifrance / Anah / Avere
Client (signature mandat)</t>
        </is>
      </c>
      <c r="E7" s="36" t="inlineStr">
        <is>
          <t>1. Signature mandat client (cession CEE, mandat ADVENIR, mandat Anah copro, etc.)
2. Constitution dossier : devis date et signe ulterieurement, attestations RGE, audit/note de calcul, photos avant travaux, releves de compteurs, plans, references cadastrales
3. Pour copro : vote AG, mandat syndic, PV AG
4. Pour PV : declaration prealable, attestation Consuel, contrat raccordement Enedis</t>
        </is>
      </c>
      <c r="F7" s="36" t="inlineStr">
        <is>
          <t>Dossier complet selon cahier des charges du dispositif
Mandats signes
Attestations sur l'honneur
Photos georeferences</t>
        </is>
      </c>
      <c r="G7" s="60" t="inlineStr">
        <is>
          <t>Toute piece manquante = rejet du dossier ou versement reduit. Checklist par dispositif obligatoire.</t>
        </is>
      </c>
    </row>
    <row r="8" ht="145" customHeight="1">
      <c r="A8" s="62" t="inlineStr">
        <is>
          <t>PHASE 4
ENGAGEMENT / DEPOT</t>
        </is>
      </c>
      <c r="B8" s="36" t="inlineStr">
        <is>
          <t>J+15 - J+25</t>
        </is>
      </c>
      <c r="C8" s="36" t="inlineStr">
        <is>
          <t>Service aides HUARD</t>
        </is>
      </c>
      <c r="D8" s="36" t="inlineStr">
        <is>
          <t>Plateformes des financeurs : EMMY (CEE), ADVENIR, MyADEME, EDF OA, Anah/MPR, Bpifrance, OPERAT</t>
        </is>
      </c>
      <c r="E8" s="36" t="inlineStr">
        <is>
          <t>1. Depot du dossier sur la plateforme du dispositif
2. Generation de la date d'engagement CEE
3. Apres l'attestation d'engagement : signature devis avec le client
4. Notification au client de la prime estimee et du calendrier</t>
        </is>
      </c>
      <c r="F8" s="36" t="inlineStr">
        <is>
          <t>Recepisse d'engagement CEE (ETOILE / SIMUL)
Notification d'eligibilite ADVENIR
Accord prealable Anah
Devis signe par client (date posterieure)</t>
        </is>
      </c>
      <c r="G8" s="60" t="inlineStr">
        <is>
          <t>ORDRE STRICT : engagement AVANT signature devis pour CEE et ADVENIR. Inversion = nullite.</t>
        </is>
      </c>
    </row>
    <row r="9" ht="145" customHeight="1">
      <c r="A9" s="63" t="inlineStr">
        <is>
          <t>PHASE 5
REALISATION DES TRAVAUX</t>
        </is>
      </c>
      <c r="B9" s="36" t="inlineStr">
        <is>
          <t>J+25 - J+150</t>
        </is>
      </c>
      <c r="C9" s="36" t="inlineStr">
        <is>
          <t>Conduite de travaux HUARD + Atelier</t>
        </is>
      </c>
      <c r="D9" s="36" t="inlineStr">
        <is>
          <t>Sous-traitants RGE
Bureau de controle si requis (Consuel, AC)</t>
        </is>
      </c>
      <c r="E9" s="36" t="inlineStr">
        <is>
          <t>1. Execution conforme au dossier d'engagement
2. Tracabilite : fiches techniques produits, certificats, lots
3. Photos avant/pendant/apres georeferences
4. PV de pose et OPR contradictoires
5. Visite de controle ADEME / mandataire (echantillon)</t>
        </is>
      </c>
      <c r="F9" s="36" t="inlineStr">
        <is>
          <t>Factures detaillees mentionnant marque/modele/numero de serie
PV de pose, OPR
Bordereau de suivi des dechets (BSD)
Fiches techniques + DoP des equipements
Certificats RGE valides a la date des travaux
Pour PV : Consuel + contrat OA</t>
        </is>
      </c>
      <c r="G9" s="60" t="inlineStr">
        <is>
          <t>Factures detaillees obligatoires (CEE refuse les libelles generiques). Conservation 10 ans (controle a posteriori).</t>
        </is>
      </c>
    </row>
    <row r="10" ht="145" customHeight="1">
      <c r="A10" s="5" t="inlineStr">
        <is>
          <t>PHASE 6
VERSEMENT &amp; SUIVI</t>
        </is>
      </c>
      <c r="B10" s="36" t="inlineStr">
        <is>
          <t>J+150 - J+330</t>
        </is>
      </c>
      <c r="C10" s="36" t="inlineStr">
        <is>
          <t>Service aides HUARD + Comptabilite</t>
        </is>
      </c>
      <c r="D10" s="36" t="inlineStr">
        <is>
          <t>Mandataire CEE - ADEME - Anah - Avere - EDF OA - Bpifrance</t>
        </is>
      </c>
      <c r="E10" s="36" t="inlineStr">
        <is>
          <t>1. Depot des pieces de cloture sur les plateformes
2. Reception attestation de fin de travaux
3. Versement de la prime (au client ou a HUARD en cession)
4. Reedition factures avec mention 'finance par CEE n XXXX' si requis
5. Suivi des controles a posteriori (3-5 ans selon dispositif)</t>
        </is>
      </c>
      <c r="F10" s="36" t="inlineStr">
        <is>
          <t>Attestation de fin de travaux signee client
PV reception
Fiches valorisees CEE
Releve d'encaissement</t>
        </is>
      </c>
      <c r="G10" s="60" t="inlineStr">
        <is>
          <t>Delai moyen versement : CEE 3-6 mois - ADVENIR 4-8 mois - Fonds Chaleur 6-12 mois - MPR Copro 6-9 mois. Provisionner la tresorerie en cas d'avance.</t>
        </is>
      </c>
    </row>
    <row r="13" ht="26" customHeight="1">
      <c r="A13" s="64" t="inlineStr">
        <is>
          <t>MATRICE RACI - QUI FAIT QUOI EN INTERNE HUARD</t>
        </is>
      </c>
    </row>
    <row r="14" ht="32" customHeight="1">
      <c r="A14" s="15" t="inlineStr">
        <is>
          <t>Action</t>
        </is>
      </c>
      <c r="B14" s="15" t="inlineStr">
        <is>
          <t>Commercial</t>
        </is>
      </c>
      <c r="C14" s="15" t="inlineStr">
        <is>
          <t>Charge d'affaires</t>
        </is>
      </c>
      <c r="D14" s="15" t="inlineStr">
        <is>
          <t>Service aides</t>
        </is>
      </c>
      <c r="E14" s="15" t="inlineStr">
        <is>
          <t>Conduite travaux</t>
        </is>
      </c>
      <c r="F14" s="15" t="inlineStr">
        <is>
          <t>Comptabilite</t>
        </is>
      </c>
      <c r="G14" s="15" t="inlineStr">
        <is>
          <t>Direction</t>
        </is>
      </c>
    </row>
    <row r="15" ht="22" customHeight="1">
      <c r="A15" s="40" t="inlineStr">
        <is>
          <t>Detection opportunite / qualification client</t>
        </is>
      </c>
      <c r="B15" s="65" t="inlineStr">
        <is>
          <t>R</t>
        </is>
      </c>
      <c r="C15" s="66" t="inlineStr">
        <is>
          <t>C</t>
        </is>
      </c>
      <c r="D15" s="67" t="inlineStr">
        <is>
          <t>I</t>
        </is>
      </c>
      <c r="E15" s="67" t="inlineStr">
        <is>
          <t>I</t>
        </is>
      </c>
      <c r="F15" s="68" t="inlineStr">
        <is>
          <t>-</t>
        </is>
      </c>
      <c r="G15" s="67" t="inlineStr">
        <is>
          <t>I</t>
        </is>
      </c>
    </row>
    <row r="16" ht="22" customHeight="1">
      <c r="A16" s="40" t="inlineStr">
        <is>
          <t>Pre-etude technique + chiffrage devis</t>
        </is>
      </c>
      <c r="B16" s="66" t="inlineStr">
        <is>
          <t>C</t>
        </is>
      </c>
      <c r="C16" s="65" t="inlineStr">
        <is>
          <t>R</t>
        </is>
      </c>
      <c r="D16" s="66" t="inlineStr">
        <is>
          <t>C</t>
        </is>
      </c>
      <c r="E16" s="66" t="inlineStr">
        <is>
          <t>C</t>
        </is>
      </c>
      <c r="F16" s="68" t="inlineStr">
        <is>
          <t>-</t>
        </is>
      </c>
      <c r="G16" s="68" t="inlineStr">
        <is>
          <t>-</t>
        </is>
      </c>
    </row>
    <row r="17" ht="22" customHeight="1">
      <c r="A17" s="40" t="inlineStr">
        <is>
          <t>Calcul aides + choix du dispositif</t>
        </is>
      </c>
      <c r="B17" s="66" t="inlineStr">
        <is>
          <t>C</t>
        </is>
      </c>
      <c r="C17" s="66" t="inlineStr">
        <is>
          <t>C</t>
        </is>
      </c>
      <c r="D17" s="65" t="inlineStr">
        <is>
          <t>R</t>
        </is>
      </c>
      <c r="E17" s="68" t="inlineStr">
        <is>
          <t>-</t>
        </is>
      </c>
      <c r="F17" s="68" t="inlineStr">
        <is>
          <t>-</t>
        </is>
      </c>
      <c r="G17" s="67" t="inlineStr">
        <is>
          <t>I</t>
        </is>
      </c>
    </row>
    <row r="18" ht="22" customHeight="1">
      <c r="A18" s="40" t="inlineStr">
        <is>
          <t>Constitution dossier administratif</t>
        </is>
      </c>
      <c r="B18" s="66" t="inlineStr">
        <is>
          <t>C</t>
        </is>
      </c>
      <c r="C18" s="66" t="inlineStr">
        <is>
          <t>C</t>
        </is>
      </c>
      <c r="D18" s="65" t="inlineStr">
        <is>
          <t>R</t>
        </is>
      </c>
      <c r="E18" s="67" t="inlineStr">
        <is>
          <t>I</t>
        </is>
      </c>
      <c r="F18" s="68" t="inlineStr">
        <is>
          <t>-</t>
        </is>
      </c>
      <c r="G18" s="68" t="inlineStr">
        <is>
          <t>-</t>
        </is>
      </c>
    </row>
    <row r="19" ht="22" customHeight="1">
      <c r="A19" s="40" t="inlineStr">
        <is>
          <t>Mandat client / signature</t>
        </is>
      </c>
      <c r="B19" s="65" t="inlineStr">
        <is>
          <t>R</t>
        </is>
      </c>
      <c r="C19" s="66" t="inlineStr">
        <is>
          <t>C</t>
        </is>
      </c>
      <c r="D19" s="66" t="inlineStr">
        <is>
          <t>C</t>
        </is>
      </c>
      <c r="E19" s="68" t="inlineStr">
        <is>
          <t>-</t>
        </is>
      </c>
      <c r="F19" s="68" t="inlineStr">
        <is>
          <t>-</t>
        </is>
      </c>
      <c r="G19" s="68" t="inlineStr">
        <is>
          <t>-</t>
        </is>
      </c>
    </row>
    <row r="20" ht="22" customHeight="1">
      <c r="A20" s="40" t="inlineStr">
        <is>
          <t>Engagement plateformes (CEE, ADVENIR...)</t>
        </is>
      </c>
      <c r="B20" s="67" t="inlineStr">
        <is>
          <t>I</t>
        </is>
      </c>
      <c r="C20" s="66" t="inlineStr">
        <is>
          <t>C</t>
        </is>
      </c>
      <c r="D20" s="65" t="inlineStr">
        <is>
          <t>R</t>
        </is>
      </c>
      <c r="E20" s="68" t="inlineStr">
        <is>
          <t>-</t>
        </is>
      </c>
      <c r="F20" s="68" t="inlineStr">
        <is>
          <t>-</t>
        </is>
      </c>
      <c r="G20" s="68" t="inlineStr">
        <is>
          <t>-</t>
        </is>
      </c>
    </row>
    <row r="21" ht="22" customHeight="1">
      <c r="A21" s="40" t="inlineStr">
        <is>
          <t>Signature devis (apres engagement)</t>
        </is>
      </c>
      <c r="B21" s="65" t="inlineStr">
        <is>
          <t>R</t>
        </is>
      </c>
      <c r="C21" s="66" t="inlineStr">
        <is>
          <t>C</t>
        </is>
      </c>
      <c r="D21" s="67" t="inlineStr">
        <is>
          <t>I</t>
        </is>
      </c>
      <c r="E21" s="68" t="inlineStr">
        <is>
          <t>-</t>
        </is>
      </c>
      <c r="F21" s="68" t="inlineStr">
        <is>
          <t>-</t>
        </is>
      </c>
      <c r="G21" s="67" t="inlineStr">
        <is>
          <t>I si &gt; 100k</t>
        </is>
      </c>
    </row>
    <row r="22" ht="22" customHeight="1">
      <c r="A22" s="40" t="inlineStr">
        <is>
          <t>Execution travaux + tracabilite pieces</t>
        </is>
      </c>
      <c r="B22" s="67" t="inlineStr">
        <is>
          <t>I</t>
        </is>
      </c>
      <c r="C22" s="66" t="inlineStr">
        <is>
          <t>C</t>
        </is>
      </c>
      <c r="D22" s="67" t="inlineStr">
        <is>
          <t>I</t>
        </is>
      </c>
      <c r="E22" s="65" t="inlineStr">
        <is>
          <t>R</t>
        </is>
      </c>
      <c r="F22" s="68" t="inlineStr">
        <is>
          <t>-</t>
        </is>
      </c>
      <c r="G22" s="68" t="inlineStr">
        <is>
          <t>-</t>
        </is>
      </c>
    </row>
    <row r="23" ht="22" customHeight="1">
      <c r="A23" s="40" t="inlineStr">
        <is>
          <t>Depot pieces de cloture</t>
        </is>
      </c>
      <c r="B23" s="67" t="inlineStr">
        <is>
          <t>I</t>
        </is>
      </c>
      <c r="C23" s="66" t="inlineStr">
        <is>
          <t>C</t>
        </is>
      </c>
      <c r="D23" s="65" t="inlineStr">
        <is>
          <t>R</t>
        </is>
      </c>
      <c r="E23" s="66" t="inlineStr">
        <is>
          <t>C</t>
        </is>
      </c>
      <c r="F23" s="68" t="inlineStr">
        <is>
          <t>-</t>
        </is>
      </c>
      <c r="G23" s="68" t="inlineStr">
        <is>
          <t>-</t>
        </is>
      </c>
    </row>
    <row r="24" ht="22" customHeight="1">
      <c r="A24" s="40" t="inlineStr">
        <is>
          <t>Versement aide + facturation finale</t>
        </is>
      </c>
      <c r="B24" s="67" t="inlineStr">
        <is>
          <t>I</t>
        </is>
      </c>
      <c r="C24" s="67" t="inlineStr">
        <is>
          <t>I</t>
        </is>
      </c>
      <c r="D24" s="65" t="inlineStr">
        <is>
          <t>R</t>
        </is>
      </c>
      <c r="E24" s="68" t="inlineStr">
        <is>
          <t>-</t>
        </is>
      </c>
      <c r="F24" s="66" t="inlineStr">
        <is>
          <t>C</t>
        </is>
      </c>
      <c r="G24" s="68" t="inlineStr">
        <is>
          <t>-</t>
        </is>
      </c>
    </row>
    <row r="25" ht="22" customHeight="1">
      <c r="A25" s="40" t="inlineStr">
        <is>
          <t>Suivi controle a posteriori (3-5 ans)</t>
        </is>
      </c>
      <c r="B25" s="68" t="inlineStr">
        <is>
          <t>-</t>
        </is>
      </c>
      <c r="C25" s="68" t="inlineStr">
        <is>
          <t>-</t>
        </is>
      </c>
      <c r="D25" s="65" t="inlineStr">
        <is>
          <t>R</t>
        </is>
      </c>
      <c r="E25" s="66" t="inlineStr">
        <is>
          <t>C</t>
        </is>
      </c>
      <c r="F25" s="67" t="inlineStr">
        <is>
          <t>I</t>
        </is>
      </c>
      <c r="G25" s="68" t="inlineStr">
        <is>
          <t>-</t>
        </is>
      </c>
    </row>
    <row r="27">
      <c r="A27" s="69" t="inlineStr">
        <is>
          <t>Legende RACI :</t>
        </is>
      </c>
      <c r="B27" s="70" t="inlineStr">
        <is>
          <t>R = Realise</t>
        </is>
      </c>
      <c r="C27" s="71" t="inlineStr">
        <is>
          <t>C = Consulte</t>
        </is>
      </c>
      <c r="D27" s="72" t="inlineStr">
        <is>
          <t>I = Informe</t>
        </is>
      </c>
      <c r="E27" s="73" t="inlineStr">
        <is>
          <t>- = Non implique</t>
        </is>
      </c>
    </row>
    <row r="29" ht="26" customHeight="1">
      <c r="A29" s="64" t="inlineStr">
        <is>
          <t>OUTILS &amp; SYSTEMES D'INFORMATION A METTRE EN PLACE</t>
        </is>
      </c>
    </row>
    <row r="30" ht="26" customHeight="1">
      <c r="A30" s="15" t="inlineStr">
        <is>
          <t>Outil / dispositif</t>
        </is>
      </c>
      <c r="B30" s="15" t="inlineStr">
        <is>
          <t>Description / mise en place</t>
        </is>
      </c>
      <c r="C30" s="74" t="n"/>
      <c r="D30" s="74" t="n"/>
      <c r="E30" s="74" t="n"/>
      <c r="F30" s="74" t="n"/>
      <c r="G30" s="75" t="n"/>
    </row>
    <row r="31" ht="38" customHeight="1">
      <c r="A31" s="45" t="inlineStr">
        <is>
          <t>Mandataire CEE partenaire (contrat-cadre)</t>
        </is>
      </c>
      <c r="B31" s="46" t="inlineStr">
        <is>
          <t>Negocier le rachat des kWh cumac (cours +/- spot marche, 7-10 EUR/MWh cumac en 2026). Choisir un mandataire avec interface web pour devis simulateur en temps reel.</t>
        </is>
      </c>
      <c r="C31" s="76" t="n"/>
      <c r="D31" s="76" t="n"/>
      <c r="E31" s="76" t="n"/>
      <c r="F31" s="76" t="n"/>
      <c r="G31" s="77" t="n"/>
    </row>
    <row r="32" ht="38" customHeight="1">
      <c r="A32" s="49" t="inlineStr">
        <is>
          <t>Labellisation ADVENIR (Avere-France)</t>
        </is>
      </c>
      <c r="B32" s="36" t="inlineStr">
        <is>
          <t>Formation 1 jour + audit qualite. Indispensable pour vendre IRVE avec aide. Cout faible, ROI immediat sur le 1er chantier.</t>
        </is>
      </c>
      <c r="C32" s="74" t="n"/>
      <c r="D32" s="74" t="n"/>
      <c r="E32" s="74" t="n"/>
      <c r="F32" s="74" t="n"/>
      <c r="G32" s="75" t="n"/>
    </row>
    <row r="33" ht="38" customHeight="1">
      <c r="A33" s="45" t="inlineStr">
        <is>
          <t>Simulateur CEE / ADVENIR / Fonds Chaleur interne</t>
        </is>
      </c>
      <c r="B33" s="46" t="inlineStr">
        <is>
          <t>Tableur ou outil web mandataire pour chiffrage commercial en 5 min. Le SIMULATEUR ci-joint (onglet 12) couvre les principaux dispositifs.</t>
        </is>
      </c>
      <c r="C33" s="76" t="n"/>
      <c r="D33" s="76" t="n"/>
      <c r="E33" s="76" t="n"/>
      <c r="F33" s="76" t="n"/>
      <c r="G33" s="77" t="n"/>
    </row>
    <row r="34" ht="38" customHeight="1">
      <c r="A34" s="49" t="inlineStr">
        <is>
          <t>CRM + module 'Aide &amp; financement'</t>
        </is>
      </c>
      <c r="B34" s="36" t="inlineStr">
        <is>
          <t>Champ obligatoire 'aides identifiees' sur chaque devis. KPI mensuel : taux de devis comportant des aides chiffrees.</t>
        </is>
      </c>
      <c r="C34" s="74" t="n"/>
      <c r="D34" s="74" t="n"/>
      <c r="E34" s="74" t="n"/>
      <c r="F34" s="74" t="n"/>
      <c r="G34" s="75" t="n"/>
    </row>
    <row r="35" ht="38" customHeight="1">
      <c r="A35" s="45" t="inlineStr">
        <is>
          <t>GED dossier client (drive partage)</t>
        </is>
      </c>
      <c r="B35" s="46" t="inlineStr">
        <is>
          <t>Arborescence type : 01 Qualification - 02 Devis - 03 Mandats - 04 Engagement - 05 Travaux - 06 Cloture - 07 Versement. Conservation 10 ans.</t>
        </is>
      </c>
      <c r="C35" s="76" t="n"/>
      <c r="D35" s="76" t="n"/>
      <c r="E35" s="76" t="n"/>
      <c r="F35" s="76" t="n"/>
      <c r="G35" s="77" t="n"/>
    </row>
    <row r="36" ht="38" customHeight="1">
      <c r="A36" s="49" t="inlineStr">
        <is>
          <t>Tableau de bord commercial 'aides'</t>
        </is>
      </c>
      <c r="B36" s="36" t="inlineStr">
        <is>
          <t>Suivi mensuel : nombre dossiers en cours, montant aides engagees, montant verse, delais moyens, taux de rejet.</t>
        </is>
      </c>
      <c r="C36" s="74" t="n"/>
      <c r="D36" s="74" t="n"/>
      <c r="E36" s="74" t="n"/>
      <c r="F36" s="74" t="n"/>
      <c r="G36" s="75" t="n"/>
    </row>
    <row r="37" ht="38" customHeight="1">
      <c r="A37" s="45" t="inlineStr">
        <is>
          <t>Partenariat BE thermique (audit DEET / Decret tertiaire)</t>
        </is>
      </c>
      <c r="B37" s="46" t="inlineStr">
        <is>
          <t>Convention de sous-traitance ou mandat. Audit OPQIBI 1905 obligatoire pour Coup de pouce renovation tertiaire.</t>
        </is>
      </c>
      <c r="C37" s="76" t="n"/>
      <c r="D37" s="76" t="n"/>
      <c r="E37" s="76" t="n"/>
      <c r="F37" s="76" t="n"/>
      <c r="G37" s="77" t="n"/>
    </row>
    <row r="38" ht="38" customHeight="1">
      <c r="A38" s="49" t="inlineStr">
        <is>
          <t>Convention banque / leasing pour avance de tresorerie</t>
        </is>
      </c>
      <c r="B38" s="36" t="inlineStr">
        <is>
          <t>Pour les clients qui ne peuvent pas attendre 6-12 mois le versement : avance HUARD ou leasing dedie.</t>
        </is>
      </c>
      <c r="C38" s="74" t="n"/>
      <c r="D38" s="74" t="n"/>
      <c r="E38" s="74" t="n"/>
      <c r="F38" s="74" t="n"/>
      <c r="G38" s="75" t="n"/>
    </row>
  </sheetData>
  <mergeCells count="13">
    <mergeCell ref="B38:G38"/>
    <mergeCell ref="A13:G13"/>
    <mergeCell ref="B34:G34"/>
    <mergeCell ref="A1:G1"/>
    <mergeCell ref="B36:G36"/>
    <mergeCell ref="B37:G37"/>
    <mergeCell ref="B31:G31"/>
    <mergeCell ref="B32:G32"/>
    <mergeCell ref="B35:G35"/>
    <mergeCell ref="A2:G2"/>
    <mergeCell ref="A29:G29"/>
    <mergeCell ref="B30:G30"/>
    <mergeCell ref="B33:G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1" customWidth="1" min="3" max="3"/>
    <col width="24" customWidth="1" min="4" max="4"/>
    <col width="32" customWidth="1" min="5" max="5"/>
    <col width="32" customWidth="1" min="6" max="6"/>
    <col width="36" customWidth="1" min="7" max="7"/>
    <col width="16" customWidth="1" min="8" max="8"/>
    <col width="16" customWidth="1" min="9" max="9"/>
    <col width="26" customWidth="1" min="10" max="10"/>
  </cols>
  <sheetData>
    <row r="1" ht="30" customHeight="1">
      <c r="A1" s="13" t="inlineStr">
        <is>
          <t>MATRICE PROJET x AIDES MOBILISABLES</t>
        </is>
      </c>
    </row>
    <row r="2">
      <c r="A2" s="14" t="inlineStr">
        <is>
          <t>Pour chaque type de projet HUARD : tous les dispositifs cumulables - taux de couverture moyen - bases de calcul</t>
        </is>
      </c>
    </row>
    <row r="4" ht="40" customHeight="1">
      <c r="A4" s="5" t="inlineStr">
        <is>
          <t>#</t>
        </is>
      </c>
      <c r="B4" s="5" t="inlineStr">
        <is>
          <t>Type de projet HUARD</t>
        </is>
      </c>
      <c r="C4" s="5" t="inlineStr">
        <is>
          <t>Activite</t>
        </is>
      </c>
      <c r="D4" s="5" t="inlineStr">
        <is>
          <t>Cible client</t>
        </is>
      </c>
      <c r="E4" s="5" t="inlineStr">
        <is>
          <t>CEE / Coup de pouce</t>
        </is>
      </c>
      <c r="F4" s="5" t="inlineStr">
        <is>
          <t>Subvention (ADEME / Anah / Region)</t>
        </is>
      </c>
      <c r="G4" s="5" t="inlineStr">
        <is>
          <t>Tarif / Prime PV / IRVE</t>
        </is>
      </c>
      <c r="H4" s="5" t="inlineStr">
        <is>
          <t>Pret bonifie</t>
        </is>
      </c>
      <c r="I4" s="5" t="inlineStr">
        <is>
          <t>Taux de couverture moyen</t>
        </is>
      </c>
      <c r="J4" s="5" t="inlineStr">
        <is>
          <t>Reste a charge typique</t>
        </is>
      </c>
    </row>
    <row r="5" ht="70" customHeight="1">
      <c r="A5" s="78" t="n">
        <v>1</v>
      </c>
      <c r="B5" s="45" t="inlineStr">
        <is>
          <t>Relamping LED tertiaire + gestion</t>
        </is>
      </c>
      <c r="C5" s="79" t="inlineStr">
        <is>
          <t>ELEC</t>
        </is>
      </c>
      <c r="D5" s="46" t="inlineStr">
        <is>
          <t>Bureaux, commerces, parking couvert</t>
        </is>
      </c>
      <c r="E5" s="46" t="inlineStr">
        <is>
          <t>CEE BAT-EQ-127 + BAT-EQ-133 (gestion)</t>
        </is>
      </c>
      <c r="F5" s="46" t="inlineStr">
        <is>
          <t>Tremplin PME ADEME (si TPE/PME)</t>
        </is>
      </c>
      <c r="G5" s="46" t="inlineStr">
        <is>
          <t>-</t>
        </is>
      </c>
      <c r="H5" s="46" t="inlineStr">
        <is>
          <t>PEE Bpifrance</t>
        </is>
      </c>
      <c r="I5" s="80" t="inlineStr">
        <is>
          <t>30 a 70%</t>
        </is>
      </c>
      <c r="J5" s="81" t="inlineStr">
        <is>
          <t>30-70% du HT</t>
        </is>
      </c>
    </row>
    <row r="6" ht="70" customHeight="1">
      <c r="A6" s="78" t="n">
        <v>2</v>
      </c>
      <c r="B6" s="49" t="inlineStr">
        <is>
          <t>Remplacement chaudiere fioul / gaz par PAC (collectif copro)</t>
        </is>
      </c>
      <c r="C6" s="82" t="inlineStr">
        <is>
          <t>CVC</t>
        </is>
      </c>
      <c r="D6" s="36" t="inlineStr">
        <is>
          <t>Copropriete chauffage collectif</t>
        </is>
      </c>
      <c r="E6" s="36" t="inlineStr">
        <is>
          <t>CEE BAT-TH-104 + Coup de pouce 'Chauffage tertiaire' bonifie x2-x4</t>
        </is>
      </c>
      <c r="F6" s="36" t="inlineStr">
        <is>
          <t>MaPrimeRenov Copro (jusqu'a 25%) + Energies POSIT'IF (tiers-financement)</t>
        </is>
      </c>
      <c r="G6" s="36" t="inlineStr">
        <is>
          <t>-</t>
        </is>
      </c>
      <c r="H6" s="36" t="inlineStr">
        <is>
          <t>Eco-PTZ copro (50k/log) + Pret Vert</t>
        </is>
      </c>
      <c r="I6" s="83" t="inlineStr">
        <is>
          <t>40 a 80%</t>
        </is>
      </c>
      <c r="J6" s="84" t="inlineStr">
        <is>
          <t>20-60% du HT (souvent 0 cash via tiers-financement)</t>
        </is>
      </c>
    </row>
    <row r="7" ht="70" customHeight="1">
      <c r="A7" s="78" t="n">
        <v>3</v>
      </c>
      <c r="B7" s="45" t="inlineStr">
        <is>
          <t>PAC tertiaire (&gt;100 kW thermique)</t>
        </is>
      </c>
      <c r="C7" s="82" t="inlineStr">
        <is>
          <t>CVC</t>
        </is>
      </c>
      <c r="D7" s="46" t="inlineStr">
        <is>
          <t>Tertiaire DEET</t>
        </is>
      </c>
      <c r="E7" s="46" t="inlineStr">
        <is>
          <t>CEE BAT-TH-104 + Coup de pouce</t>
        </is>
      </c>
      <c r="F7" s="46" t="inlineStr">
        <is>
          <t>Fonds Chaleur si EnR (geothermie)</t>
        </is>
      </c>
      <c r="G7" s="46" t="inlineStr">
        <is>
          <t>-</t>
        </is>
      </c>
      <c r="H7" s="46" t="inlineStr">
        <is>
          <t>Pret Vert Bpifrance</t>
        </is>
      </c>
      <c r="I7" s="80" t="inlineStr">
        <is>
          <t>30 a 65%</t>
        </is>
      </c>
      <c r="J7" s="81" t="inlineStr">
        <is>
          <t>35-70% du HT</t>
        </is>
      </c>
    </row>
    <row r="8" ht="70" customHeight="1">
      <c r="A8" s="78" t="n">
        <v>4</v>
      </c>
      <c r="B8" s="49" t="inlineStr">
        <is>
          <t>Installation PV autoconsommation 9-100 kWc</t>
        </is>
      </c>
      <c r="C8" s="79" t="inlineStr">
        <is>
          <t>ELEC</t>
        </is>
      </c>
      <c r="D8" s="36" t="inlineStr">
        <is>
          <t>PME tertiaire / industrie / agricole</t>
        </is>
      </c>
      <c r="E8" s="36" t="inlineStr">
        <is>
          <t>-</t>
        </is>
      </c>
      <c r="F8" s="36" t="inlineStr">
        <is>
          <t>Region IDF (selon AAP)</t>
        </is>
      </c>
      <c r="G8" s="36" t="inlineStr">
        <is>
          <t>Prime autoconso S26 (5 ans) + Tarif EDF OA 20 ans surplus</t>
        </is>
      </c>
      <c r="H8" s="36" t="inlineStr">
        <is>
          <t>Pret Vert / PEE</t>
        </is>
      </c>
      <c r="I8" s="83" t="inlineStr">
        <is>
          <t>15 a 25% (prime) + 60% revenus rachat sur 20 ans</t>
        </is>
      </c>
      <c r="J8" s="84" t="inlineStr">
        <is>
          <t>75-85% en capex - ROI 6-9 ans</t>
        </is>
      </c>
    </row>
    <row r="9" ht="70" customHeight="1">
      <c r="A9" s="78" t="n">
        <v>5</v>
      </c>
      <c r="B9" s="45" t="inlineStr">
        <is>
          <t>Ombrieres PV parking (Loi APER) 100-500 kWc</t>
        </is>
      </c>
      <c r="C9" s="79" t="inlineStr">
        <is>
          <t>ELEC</t>
        </is>
      </c>
      <c r="D9" s="46" t="inlineStr">
        <is>
          <t>Hyper / logistique / industrie</t>
        </is>
      </c>
      <c r="E9" s="46" t="inlineStr">
        <is>
          <t>-</t>
        </is>
      </c>
      <c r="F9" s="46" t="inlineStr">
        <is>
          <t>Region IDF + Fonds Chaleur si associee a EnR</t>
        </is>
      </c>
      <c r="G9" s="46" t="inlineStr">
        <is>
          <t>Prime autoconso (jusqu'a 100 kWc) + Tarif rachat 20 ans (ou AO CRE &gt; 500 kWc)</t>
        </is>
      </c>
      <c r="H9" s="46" t="inlineStr">
        <is>
          <t>Pret Vert (gros volume)</t>
        </is>
      </c>
      <c r="I9" s="80" t="inlineStr">
        <is>
          <t>10 a 30% en capex direct + revenus 20 ans</t>
        </is>
      </c>
      <c r="J9" s="81" t="inlineStr">
        <is>
          <t>Investissement amorti 7-10 ans</t>
        </is>
      </c>
    </row>
    <row r="10" ht="70" customHeight="1">
      <c r="A10" s="78" t="n">
        <v>6</v>
      </c>
      <c r="B10" s="49" t="inlineStr">
        <is>
          <t>GTB classe A/B (decret BACS)</t>
        </is>
      </c>
      <c r="C10" s="85" t="inlineStr">
        <is>
          <t>ELEC/CVC</t>
        </is>
      </c>
      <c r="D10" s="36" t="inlineStr">
        <is>
          <t>Tertiaire CVC &gt; 290 kW (2025), &gt; 70 kW (2027)</t>
        </is>
      </c>
      <c r="E10" s="36" t="inlineStr">
        <is>
          <t>CEE BAT-TH-116 (gros volume) + Coup de pouce 'Pilotage connecte chauffage'</t>
        </is>
      </c>
      <c r="F10" s="36" t="inlineStr">
        <is>
          <t>Programme ACTEE (collectivites)</t>
        </is>
      </c>
      <c r="G10" s="36" t="inlineStr">
        <is>
          <t>-</t>
        </is>
      </c>
      <c r="H10" s="36" t="inlineStr">
        <is>
          <t>PEE</t>
        </is>
      </c>
      <c r="I10" s="83" t="inlineStr">
        <is>
          <t>50 a 80%</t>
        </is>
      </c>
      <c r="J10" s="84" t="inlineStr">
        <is>
          <t>20-50% du HT - obligatoire reglementairement</t>
        </is>
      </c>
    </row>
    <row r="11" ht="70" customHeight="1">
      <c r="A11" s="78" t="n">
        <v>7</v>
      </c>
      <c r="B11" s="45" t="inlineStr">
        <is>
          <t>Bornes IRVE parking entreprise (10 a 50 points 22 kW)</t>
        </is>
      </c>
      <c r="C11" s="79" t="inlineStr">
        <is>
          <t>ELEC</t>
        </is>
      </c>
      <c r="D11" s="46" t="inlineStr">
        <is>
          <t>Tertiaire / industrie avec parking salaries</t>
        </is>
      </c>
      <c r="E11" s="46" t="inlineStr">
        <is>
          <t>-</t>
        </is>
      </c>
      <c r="F11" s="46" t="inlineStr">
        <is>
          <t>Region IDF (selon AAP)</t>
        </is>
      </c>
      <c r="G11" s="46" t="inlineStr">
        <is>
          <t>ADVENIR jusqu'a 1700 EUR HT/point salaries (parking entreprise)</t>
        </is>
      </c>
      <c r="H11" s="46" t="inlineStr">
        <is>
          <t>PEE</t>
        </is>
      </c>
      <c r="I11" s="80" t="inlineStr">
        <is>
          <t>30 a 50%</t>
        </is>
      </c>
      <c r="J11" s="81" t="inlineStr">
        <is>
          <t>50-70% du HT + amortissement fiscal</t>
        </is>
      </c>
    </row>
    <row r="12" ht="70" customHeight="1">
      <c r="A12" s="78" t="n">
        <v>8</v>
      </c>
      <c r="B12" s="49" t="inlineStr">
        <is>
          <t>Bornes IRVE collective copropriete</t>
        </is>
      </c>
      <c r="C12" s="79" t="inlineStr">
        <is>
          <t>ELEC</t>
        </is>
      </c>
      <c r="D12" s="36" t="inlineStr">
        <is>
          <t>Copropriete</t>
        </is>
      </c>
      <c r="E12" s="36" t="inlineStr">
        <is>
          <t>-</t>
        </is>
      </c>
      <c r="F12" s="36" t="inlineStr">
        <is>
          <t>MaPrimeRenov Copro (pour parties communes electriques)</t>
        </is>
      </c>
      <c r="G12" s="36" t="inlineStr">
        <is>
          <t>ADVENIR jusqu'a 1660 EUR/point + 3000 EUR pre-equipement collectif</t>
        </is>
      </c>
      <c r="H12" s="36" t="inlineStr">
        <is>
          <t>Eco-PTZ copro</t>
        </is>
      </c>
      <c r="I12" s="83" t="inlineStr">
        <is>
          <t>40 a 60%</t>
        </is>
      </c>
      <c r="J12" s="84" t="inlineStr">
        <is>
          <t>Souvent &lt; 500 EUR par coproprietaire equipe</t>
        </is>
      </c>
    </row>
    <row r="13" ht="70" customHeight="1">
      <c r="A13" s="78" t="n">
        <v>9</v>
      </c>
      <c r="B13" s="45" t="inlineStr">
        <is>
          <t>Raccordement reseau de chaleur EnR&amp;R</t>
        </is>
      </c>
      <c r="C13" s="82" t="inlineStr">
        <is>
          <t>CVC</t>
        </is>
      </c>
      <c r="D13" s="46" t="inlineStr">
        <is>
          <t>Copro / tertiaire en zone urbaine</t>
        </is>
      </c>
      <c r="E13" s="46" t="inlineStr">
        <is>
          <t>CEE BAT-TH-127 + Coup de pouce raccordement</t>
        </is>
      </c>
      <c r="F13" s="46" t="inlineStr">
        <is>
          <t>Fonds Chaleur ADEME (selon reseau) + MaPrimeRenov Copro</t>
        </is>
      </c>
      <c r="G13" s="46" t="inlineStr">
        <is>
          <t>-</t>
        </is>
      </c>
      <c r="H13" s="46" t="inlineStr">
        <is>
          <t>Eco-PTZ copro</t>
        </is>
      </c>
      <c r="I13" s="80" t="inlineStr">
        <is>
          <t>40 a 70%</t>
        </is>
      </c>
      <c r="J13" s="81" t="inlineStr">
        <is>
          <t>30-60% du HT</t>
        </is>
      </c>
    </row>
    <row r="14" ht="70" customHeight="1">
      <c r="A14" s="78" t="n">
        <v>10</v>
      </c>
      <c r="B14" s="49" t="inlineStr">
        <is>
          <t>Audit + bouquet renovation tertiaire (&gt;= 30% gain)</t>
        </is>
      </c>
      <c r="C14" s="86" t="inlineStr">
        <is>
          <t>MULTI</t>
        </is>
      </c>
      <c r="D14" s="36" t="inlineStr">
        <is>
          <t>Tertiaire DEET &gt; 1000 m2</t>
        </is>
      </c>
      <c r="E14" s="36" t="inlineStr">
        <is>
          <t>Coup de pouce 'Renovation performante tertiaire' (bonification jusqu'a x4)</t>
        </is>
      </c>
      <c r="F14" s="36" t="inlineStr">
        <is>
          <t>Region IDF + ADEME (selon AAP) + Diag Decarbon'Action Bpifrance</t>
        </is>
      </c>
      <c r="G14" s="36" t="inlineStr">
        <is>
          <t>-</t>
        </is>
      </c>
      <c r="H14" s="36" t="inlineStr">
        <is>
          <t>Pret Vert (gros)</t>
        </is>
      </c>
      <c r="I14" s="83" t="inlineStr">
        <is>
          <t>40 a 70%</t>
        </is>
      </c>
      <c r="J14" s="84" t="inlineStr">
        <is>
          <t>30-60% du HT - mise en conformite DEET</t>
        </is>
      </c>
    </row>
    <row r="15" ht="70" customHeight="1">
      <c r="A15" s="78" t="n">
        <v>11</v>
      </c>
      <c r="B15" s="45" t="inlineStr">
        <is>
          <t>Calorifugeage chaufferie collective</t>
        </is>
      </c>
      <c r="C15" s="82" t="inlineStr">
        <is>
          <t>CVC/MAINT</t>
        </is>
      </c>
      <c r="D15" s="46" t="inlineStr">
        <is>
          <t>Copro / tertiaire avec chaufferie</t>
        </is>
      </c>
      <c r="E15" s="46" t="inlineStr">
        <is>
          <t>CEE BAT-TH-145 + BAT-TH-146</t>
        </is>
      </c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80" t="inlineStr">
        <is>
          <t>80 a 100%</t>
        </is>
      </c>
      <c r="J15" s="81" t="inlineStr">
        <is>
          <t>Souvent 0 EUR pour le client</t>
        </is>
      </c>
    </row>
    <row r="16" ht="70" customHeight="1">
      <c r="A16" s="78" t="n">
        <v>12</v>
      </c>
      <c r="B16" s="49" t="inlineStr">
        <is>
          <t>VMC double flux ecole / bureau</t>
        </is>
      </c>
      <c r="C16" s="82" t="inlineStr">
        <is>
          <t>CVC</t>
        </is>
      </c>
      <c r="D16" s="36" t="inlineStr">
        <is>
          <t>Tertiaire / etablissement scolaire</t>
        </is>
      </c>
      <c r="E16" s="36" t="inlineStr">
        <is>
          <t>CEE BAT-TH-125 / 155</t>
        </is>
      </c>
      <c r="F16" s="36" t="inlineStr">
        <is>
          <t>Programme ACTEE (ecoles publiques) + Region IDF + AIRPARIF (QAI)</t>
        </is>
      </c>
      <c r="G16" s="36" t="inlineStr">
        <is>
          <t>-</t>
        </is>
      </c>
      <c r="H16" s="36" t="inlineStr">
        <is>
          <t>PEE</t>
        </is>
      </c>
      <c r="I16" s="83" t="inlineStr">
        <is>
          <t>25 a 50%</t>
        </is>
      </c>
      <c r="J16" s="84" t="inlineStr">
        <is>
          <t>50-75% du HT</t>
        </is>
      </c>
    </row>
    <row r="17" ht="70" customHeight="1">
      <c r="A17" s="78" t="n">
        <v>13</v>
      </c>
      <c r="B17" s="45" t="inlineStr">
        <is>
          <t>Variateurs vitesse sur moteurs industriels</t>
        </is>
      </c>
      <c r="C17" s="79" t="inlineStr">
        <is>
          <t>ELEC/MAINT</t>
        </is>
      </c>
      <c r="D17" s="46" t="inlineStr">
        <is>
          <t>Industrie - sites avec moteurs &gt; 0.75 kW charge variable</t>
        </is>
      </c>
      <c r="E17" s="46" t="inlineStr">
        <is>
          <t>CEE IND-UT-103</t>
        </is>
      </c>
      <c r="F17" s="46" t="inlineStr">
        <is>
          <t>Tremplin PME ADEME + Diag Eco-Flux Bpifrance</t>
        </is>
      </c>
      <c r="G17" s="46" t="inlineStr">
        <is>
          <t>-</t>
        </is>
      </c>
      <c r="H17" s="46" t="inlineStr">
        <is>
          <t>PEE</t>
        </is>
      </c>
      <c r="I17" s="80" t="inlineStr">
        <is>
          <t>30 a 60%</t>
        </is>
      </c>
      <c r="J17" s="81" t="inlineStr">
        <is>
          <t>40-70% du HT - ROI &lt; 3 ans</t>
        </is>
      </c>
    </row>
    <row r="18" ht="70" customHeight="1">
      <c r="A18" s="78" t="n">
        <v>14</v>
      </c>
      <c r="B18" s="49" t="inlineStr">
        <is>
          <t>Recuperation chaleur fatale (compresseur, groupe froid)</t>
        </is>
      </c>
      <c r="C18" s="82" t="inlineStr">
        <is>
          <t>CVC/MAINT</t>
        </is>
      </c>
      <c r="D18" s="36" t="inlineStr">
        <is>
          <t>Industrie / datacenter</t>
        </is>
      </c>
      <c r="E18" s="36" t="inlineStr">
        <is>
          <t>CEE IND-UT-117 / IND-UT-102</t>
        </is>
      </c>
      <c r="F18" s="36" t="inlineStr">
        <is>
          <t>Fonds Chaleur ADEME + Decarbonation industrie (France 2030)</t>
        </is>
      </c>
      <c r="G18" s="36" t="inlineStr">
        <is>
          <t>-</t>
        </is>
      </c>
      <c r="H18" s="36" t="inlineStr">
        <is>
          <t>Pret Vert</t>
        </is>
      </c>
      <c r="I18" s="83" t="inlineStr">
        <is>
          <t>40 a 75%</t>
        </is>
      </c>
      <c r="J18" s="84" t="inlineStr">
        <is>
          <t>25-60% du HT</t>
        </is>
      </c>
    </row>
    <row r="19" ht="70" customHeight="1">
      <c r="A19" s="78" t="n">
        <v>15</v>
      </c>
      <c r="B19" s="45" t="inlineStr">
        <is>
          <t>Remplacement chaudiere individuelle par PAC (maison)</t>
        </is>
      </c>
      <c r="C19" s="82" t="inlineStr">
        <is>
          <t>CVC</t>
        </is>
      </c>
      <c r="D19" s="46" t="inlineStr">
        <is>
          <t>Particulier proprietaire occupant</t>
        </is>
      </c>
      <c r="E19" s="46" t="inlineStr">
        <is>
          <t>CEE BAR-TH-104 + Coup de pouce chauffage</t>
        </is>
      </c>
      <c r="F19" s="46" t="inlineStr">
        <is>
          <t>MaPrimeRenov par geste ou accompagne</t>
        </is>
      </c>
      <c r="G19" s="46" t="inlineStr">
        <is>
          <t>-</t>
        </is>
      </c>
      <c r="H19" s="46" t="inlineStr">
        <is>
          <t>Eco-PTZ</t>
        </is>
      </c>
      <c r="I19" s="80" t="inlineStr">
        <is>
          <t>40 a 90% (selon revenus)</t>
        </is>
      </c>
      <c r="J19" s="81" t="inlineStr">
        <is>
          <t>10-60% du HT + TVA 5,5%</t>
        </is>
      </c>
    </row>
    <row r="20" ht="70" customHeight="1">
      <c r="A20" s="78" t="n">
        <v>16</v>
      </c>
      <c r="B20" s="49" t="inlineStr">
        <is>
          <t>Datacenter - efficacite refroidissement</t>
        </is>
      </c>
      <c r="C20" s="87" t="inlineStr">
        <is>
          <t>INFO/CVC</t>
        </is>
      </c>
      <c r="D20" s="36" t="inlineStr">
        <is>
          <t>Hebergeurs, salles serveurs entreprise</t>
        </is>
      </c>
      <c r="E20" s="36" t="inlineStr">
        <is>
          <t>CEE IND-UT-102 + fiches specifiques</t>
        </is>
      </c>
      <c r="F20" s="36" t="inlineStr">
        <is>
          <t>Fonds Chaleur (chaleur fatale) + France 2030</t>
        </is>
      </c>
      <c r="G20" s="36" t="inlineStr">
        <is>
          <t>-</t>
        </is>
      </c>
      <c r="H20" s="36" t="inlineStr">
        <is>
          <t>Pret Vert</t>
        </is>
      </c>
      <c r="I20" s="83" t="inlineStr">
        <is>
          <t>25 a 50%</t>
        </is>
      </c>
      <c r="J20" s="84" t="inlineStr">
        <is>
          <t>50-75% du HT</t>
        </is>
      </c>
    </row>
  </sheetData>
  <autoFilter ref="A4:J20"/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18" customWidth="1" min="4" max="4"/>
    <col width="42" customWidth="1" min="5" max="5"/>
    <col width="26" customWidth="1" min="6" max="6"/>
  </cols>
  <sheetData>
    <row r="1" ht="30" customHeight="1">
      <c r="A1" s="13" t="inlineStr">
        <is>
          <t>BASES DE CALCUL DES AIDES - FORMULES &amp; EXEMPLES</t>
        </is>
      </c>
    </row>
    <row r="2">
      <c r="A2" s="14" t="inlineStr">
        <is>
          <t>Pour chaque dispositif : formule, parametres a recuperer, exemple chiffre - aide le commercial a estimer en 5 min.</t>
        </is>
      </c>
    </row>
    <row r="4" ht="36" customHeight="1">
      <c r="A4" s="5" t="inlineStr">
        <is>
          <t>Dispositif</t>
        </is>
      </c>
      <c r="B4" s="5" t="inlineStr">
        <is>
          <t>Formule de calcul</t>
        </is>
      </c>
      <c r="C4" s="5" t="inlineStr">
        <is>
          <t>Parametres d'entree</t>
        </is>
      </c>
      <c r="D4" s="5" t="inlineStr">
        <is>
          <t>Unite de sortie</t>
        </is>
      </c>
      <c r="E4" s="5" t="inlineStr">
        <is>
          <t>Exemple chiffre</t>
        </is>
      </c>
      <c r="F4" s="5" t="inlineStr">
        <is>
          <t>Source du parametre</t>
        </is>
      </c>
    </row>
    <row r="5" ht="75" customHeight="1">
      <c r="A5" s="49" t="inlineStr">
        <is>
          <t>CEE standard (toutes fiches BAT/IND/BAR)</t>
        </is>
      </c>
      <c r="B5" s="46" t="inlineStr">
        <is>
          <t>Prime = (kWh cumac de la fiche) x (cours marche kWh cumac) / 1000</t>
        </is>
      </c>
      <c r="C5" s="46" t="inlineStr">
        <is>
          <t>kWh cumac : depend de la fiche + zone climatique + duree usage
Cours marche : ~7-10 EUR / MWh cumac (T2 2026, indicatif)</t>
        </is>
      </c>
      <c r="D5" s="46" t="inlineStr">
        <is>
          <t>EUR HT</t>
        </is>
      </c>
      <c r="E5" s="88" t="inlineStr">
        <is>
          <t>BAT-EQ-127 luminaire 60W remplace par 30W LED, zone H1, 14h/j : 8 MWh cumac x 8,5 EUR/MWh = 68 EUR / luminaire</t>
        </is>
      </c>
      <c r="F5" s="46" t="inlineStr">
        <is>
          <t>https://emmy.atee.fr (cours) + arrete CEE (kWh cumac)</t>
        </is>
      </c>
    </row>
    <row r="6" ht="75" customHeight="1">
      <c r="A6" s="49" t="inlineStr">
        <is>
          <t>CEE bonifie - Coup de pouce</t>
        </is>
      </c>
      <c r="B6" s="36" t="inlineStr">
        <is>
          <t>Prime = (kWh cumac fiche) x (multiplicateur 2 a 4) x cours / 1000</t>
        </is>
      </c>
      <c r="C6" s="36" t="inlineStr">
        <is>
          <t>Multiplicateur : depend du Coup de pouce (sortie fioul x4, sortie gaz x2, etc.)</t>
        </is>
      </c>
      <c r="D6" s="36" t="inlineStr">
        <is>
          <t>EUR HT</t>
        </is>
      </c>
      <c r="E6" s="88" t="inlineStr">
        <is>
          <t>Coup de pouce chauffage tertiaire sortie fioul, multiplicateur x4 : prime = prime CEE de base x 4</t>
        </is>
      </c>
      <c r="F6" s="36" t="inlineStr">
        <is>
          <t>Arrete coup de pouce en vigueur</t>
        </is>
      </c>
    </row>
    <row r="7" ht="75" customHeight="1">
      <c r="A7" s="49" t="inlineStr">
        <is>
          <t>Prime a l'autoconsommation PV (arrete S26)</t>
        </is>
      </c>
      <c r="B7" s="46" t="inlineStr">
        <is>
          <t>Prime = (EUR / kWc selon tranche) x (P installee en kWc)</t>
        </is>
      </c>
      <c r="C7" s="46" t="inlineStr">
        <is>
          <t>Tranche puissance + bareme trimestriel CRE</t>
        </is>
      </c>
      <c r="D7" s="46" t="inlineStr">
        <is>
          <t>EUR (verse en 5 annuites)</t>
        </is>
      </c>
      <c r="E7" s="88" t="inlineStr">
        <is>
          <t>PV 50 kWc : 50 x 100 EUR/kWc = 5 000 EUR sur 5 ans (T2 2026 indicatif)</t>
        </is>
      </c>
      <c r="F7" s="46" t="inlineStr">
        <is>
          <t>Arrete tarifaire S26 - revision trimestrielle CRE</t>
        </is>
      </c>
    </row>
    <row r="8" ht="75" customHeight="1">
      <c r="A8" s="49" t="inlineStr">
        <is>
          <t>Tarif d'achat PV (EDF OA) - surplus</t>
        </is>
      </c>
      <c r="B8" s="36" t="inlineStr">
        <is>
          <t>Revenu annuel = (kWh vendus) x (tarif EUR/kWh)</t>
        </is>
      </c>
      <c r="C8" s="36" t="inlineStr">
        <is>
          <t>Production annuelle estimee (kWh) x part de surplus (typique 60-80%) x tarif trimestriel</t>
        </is>
      </c>
      <c r="D8" s="36" t="inlineStr">
        <is>
          <t>EUR / an (contrat 20 ans)</t>
        </is>
      </c>
      <c r="E8" s="88" t="inlineStr">
        <is>
          <t>PV 100 kWc Ile-de-France : ~110 000 kWh/an x 70% surplus x 0,1297 EUR/kWh = 9 980 EUR/an</t>
        </is>
      </c>
      <c r="F8" s="36" t="inlineStr">
        <is>
          <t>EDF OA - arrete tarifaire S26</t>
        </is>
      </c>
    </row>
    <row r="9" ht="75" customHeight="1">
      <c r="A9" s="49" t="inlineStr">
        <is>
          <t>Prime ADVENIR - bornes IRVE</t>
        </is>
      </c>
      <c r="B9" s="46" t="inlineStr">
        <is>
          <t>Aide = MIN(% HT du cout d'installation ; plafond EUR par point)</t>
        </is>
      </c>
      <c r="C9" s="46" t="inlineStr">
        <is>
          <t>Type de parking + puissance borne + nombre de points</t>
        </is>
      </c>
      <c r="D9" s="46" t="inlineStr">
        <is>
          <t>EUR HT</t>
        </is>
      </c>
      <c r="E9" s="88" t="inlineStr">
        <is>
          <t>10 bornes 22 kW parking entreprise salaries : 10 x MIN(50% HT ; 1 700 EUR) = jusqu'a 17 000 EUR HT</t>
        </is>
      </c>
      <c r="F9" s="46" t="inlineStr">
        <is>
          <t>Avere-France ADVENIR + cahier des charges en cours</t>
        </is>
      </c>
    </row>
    <row r="10" ht="75" customHeight="1">
      <c r="A10" s="49" t="inlineStr">
        <is>
          <t>Fonds Chaleur ADEME - mode forfaitaire</t>
        </is>
      </c>
      <c r="B10" s="36" t="inlineStr">
        <is>
          <t>Aide = (MWh EnR produits / an) x (forfait EUR / MWh sur 20 ans)</t>
        </is>
      </c>
      <c r="C10" s="36" t="inlineStr">
        <is>
          <t>Production EnR annuelle estimee + forfait selon energie (geothermie 80 EUR/MWh, biomasse 25-35 EUR/MWh)</t>
        </is>
      </c>
      <c r="D10" s="36" t="inlineStr">
        <is>
          <t>EUR (capitalise sur 20 ans, verse a l'investissement)</t>
        </is>
      </c>
      <c r="E10" s="88" t="inlineStr">
        <is>
          <t>Chaufferie biomasse 500 kW, 1500 MWh EnR / an : 1500 x 30 EUR = 45 000 EUR / an x 20 ans = 900 000 EUR (capitalise selon regle ADEME)</t>
        </is>
      </c>
      <c r="F10" s="36" t="inlineStr">
        <is>
          <t>Guide Fonds Chaleur ADEME + arretes annuels</t>
        </is>
      </c>
    </row>
    <row r="11" ht="75" customHeight="1">
      <c r="A11" s="49" t="inlineStr">
        <is>
          <t>Fonds Chaleur ADEME - mode aide a l'investissement</t>
        </is>
      </c>
      <c r="B11" s="46" t="inlineStr">
        <is>
          <t>Aide = % du capex eligible (variable selon taille entreprise et type)</t>
        </is>
      </c>
      <c r="C11" s="46" t="inlineStr">
        <is>
          <t>Cout eligible HT + taux selon AFR + taille</t>
        </is>
      </c>
      <c r="D11" s="46" t="inlineStr">
        <is>
          <t>EUR HT</t>
        </is>
      </c>
      <c r="E11" s="88" t="inlineStr">
        <is>
          <t>Geothermie sondes 200 kW cout eligible 250 000 EUR HT - PME zone non AFR : 45% = 112 500 EUR</t>
        </is>
      </c>
      <c r="F11" s="46" t="inlineStr">
        <is>
          <t>Encadrement aides d'Etat + guide ADEME</t>
        </is>
      </c>
    </row>
    <row r="12" ht="75" customHeight="1">
      <c r="A12" s="49" t="inlineStr">
        <is>
          <t>MaPrimeRenov Copropriete</t>
        </is>
      </c>
      <c r="B12" s="36" t="inlineStr">
        <is>
          <t>Aide = (% selon gain energetique) x (cout HT plafonne par logement)</t>
        </is>
      </c>
      <c r="C12" s="36" t="inlineStr">
        <is>
          <t>Nombre logements + gain energetique theorique + plafond travaux par logement (25 000 EUR HT/log)</t>
        </is>
      </c>
      <c r="D12" s="36" t="inlineStr">
        <is>
          <t>EUR HT</t>
        </is>
      </c>
      <c r="E12" s="88" t="inlineStr">
        <is>
          <t>Copro 50 logements, gain 50% : 25% x 25 000 EUR x 50 = 312 500 EUR + bonus sortie passoire</t>
        </is>
      </c>
      <c r="F12" s="36" t="inlineStr">
        <is>
          <t>Decrets Anah - bareme MPR Copro 2026</t>
        </is>
      </c>
    </row>
    <row r="13" ht="75" customHeight="1">
      <c r="A13" s="49" t="inlineStr">
        <is>
          <t>MaPrimeRenov individuelle (parcours accompagne)</t>
        </is>
      </c>
      <c r="B13" s="46" t="inlineStr">
        <is>
          <t>Aide = % HT plafonne selon revenus + gain energetique</t>
        </is>
      </c>
      <c r="C13" s="46" t="inlineStr">
        <is>
          <t>Revenu fiscal de reference + gain energetique vise (35 / 50 / 65% saut classe)</t>
        </is>
      </c>
      <c r="D13" s="46" t="inlineStr">
        <is>
          <t>EUR HT</t>
        </is>
      </c>
      <c r="E13" s="88" t="inlineStr">
        <is>
          <t>Menage modeste, renovation gain 65% : 80% HT plafonne 70 000 EUR = jusqu'a 56 000 EUR</t>
        </is>
      </c>
      <c r="F13" s="46" t="inlineStr">
        <is>
          <t>France Renov + bareme Anah 2026</t>
        </is>
      </c>
    </row>
    <row r="14" ht="75" customHeight="1">
      <c r="A14" s="49" t="inlineStr">
        <is>
          <t>Eco-PTZ</t>
        </is>
      </c>
      <c r="B14" s="36" t="inlineStr">
        <is>
          <t>Pret a 0% - montant plafonne selon nombre de travaux</t>
        </is>
      </c>
      <c r="C14" s="36" t="inlineStr">
        <is>
          <t>Type et nombre de travaux RGE</t>
        </is>
      </c>
      <c r="D14" s="36" t="inlineStr">
        <is>
          <t>EUR (pret amortissable jusqu'a 20 ans)</t>
        </is>
      </c>
      <c r="E14" s="88" t="inlineStr">
        <is>
          <t>Bouquet 3 travaux ou + : pret jusqu'a 50 000 EUR a 0% sur 20 ans</t>
        </is>
      </c>
      <c r="F14" s="36" t="inlineStr">
        <is>
          <t>Banque partenaire Eco-PTZ</t>
        </is>
      </c>
    </row>
    <row r="15" ht="75" customHeight="1">
      <c r="A15" s="49" t="inlineStr">
        <is>
          <t>TVA reduite 5,5%</t>
        </is>
      </c>
      <c r="B15" s="46" t="inlineStr">
        <is>
          <t>Economie = (HT) x (20% - 5,5%) = (HT) x 14,5%</t>
        </is>
      </c>
      <c r="C15" s="46" t="inlineStr">
        <is>
          <t>Montant HT travaux eligibles + attestation client</t>
        </is>
      </c>
      <c r="D15" s="46" t="inlineStr">
        <is>
          <t>EUR</t>
        </is>
      </c>
      <c r="E15" s="88" t="inlineStr">
        <is>
          <t>Devis 10 000 EUR HT travaux PAC residentiel : economie TVA = 1 450 EUR</t>
        </is>
      </c>
      <c r="F15" s="46" t="inlineStr">
        <is>
          <t>Art. 278-0 bis A CGI</t>
        </is>
      </c>
    </row>
    <row r="16" ht="75" customHeight="1">
      <c r="A16" s="49" t="inlineStr">
        <is>
          <t>TVA reduite 10%</t>
        </is>
      </c>
      <c r="B16" s="36" t="inlineStr">
        <is>
          <t>Economie = (HT) x (20% - 10%) = (HT) x 10%</t>
        </is>
      </c>
      <c r="C16" s="36" t="inlineStr">
        <is>
          <t>Montant HT travaux eligibles + attestation client</t>
        </is>
      </c>
      <c r="D16" s="36" t="inlineStr">
        <is>
          <t>EUR</t>
        </is>
      </c>
      <c r="E16" s="88" t="inlineStr">
        <is>
          <t>Devis 10 000 EUR HT travaux d'amelioration : economie TVA = 1 000 EUR</t>
        </is>
      </c>
      <c r="F16" s="36" t="inlineStr">
        <is>
          <t>Art. 279-0 bis CGI</t>
        </is>
      </c>
    </row>
    <row r="17" ht="75" customHeight="1">
      <c r="A17" s="49" t="inlineStr">
        <is>
          <t>Bpifrance - Pret Economies d'Energie (PEE)</t>
        </is>
      </c>
      <c r="B17" s="46" t="inlineStr">
        <is>
          <t>Pret bonifie - montant 10 a 500 k EUR - taux fixe ~3-4% (T2 2026)</t>
        </is>
      </c>
      <c r="C17" s="46" t="inlineStr">
        <is>
          <t>PME &gt; 3 ans + projet eligible CEE</t>
        </is>
      </c>
      <c r="D17" s="46" t="inlineStr">
        <is>
          <t>EUR (pret 3 a 7 ans)</t>
        </is>
      </c>
      <c r="E17" s="88" t="inlineStr">
        <is>
          <t>PME industrielle, projet eclairage + variateurs 150 000 EUR : PEE 150 000 EUR sur 5 ans a ~3,5% taux fixe</t>
        </is>
      </c>
      <c r="F17" s="46" t="inlineStr">
        <is>
          <t>Bpifrance</t>
        </is>
      </c>
    </row>
    <row r="18" ht="75" customHeight="1">
      <c r="A18" s="49" t="inlineStr">
        <is>
          <t>Tremplin pour la transition ecologique PME (ADEME)</t>
        </is>
      </c>
      <c r="B18" s="36" t="inlineStr">
        <is>
          <t>Forfait par action eligible (catalogue ~50 actions)</t>
        </is>
      </c>
      <c r="C18" s="36" t="inlineStr">
        <is>
          <t>Type d'action + montant capex</t>
        </is>
      </c>
      <c r="D18" s="36" t="inlineStr">
        <is>
          <t>EUR (1 000 a 200 000 EUR total cumule)</t>
        </is>
      </c>
      <c r="E18" s="88" t="inlineStr">
        <is>
          <t>Eclairage LED PME : forfait 1 500 EUR + isolation toiture 2 000 EUR + diagnostic 1 000 EUR = 4 500 EUR</t>
        </is>
      </c>
      <c r="F18" s="36" t="inlineStr">
        <is>
          <t>ADEME - agir transition</t>
        </is>
      </c>
    </row>
    <row r="19" ht="75" customHeight="1">
      <c r="A19" s="49" t="inlineStr">
        <is>
          <t>Region IDF - aide entreprises TEE</t>
        </is>
      </c>
      <c r="B19" s="46" t="inlineStr">
        <is>
          <t>Subvention selon AAP (% du HT ou forfait)</t>
        </is>
      </c>
      <c r="C19" s="46" t="inlineStr">
        <is>
          <t>Projet en IDF + PME/ETI + montant eligible HT</t>
        </is>
      </c>
      <c r="D19" s="46" t="inlineStr">
        <is>
          <t>EUR HT</t>
        </is>
      </c>
      <c r="E19" s="88" t="inlineStr">
        <is>
          <t>Variable selon AAP - typiquement 20-40% HT plafonne (de minimis 200 k EUR sur 3 ans)</t>
        </is>
      </c>
      <c r="F19" s="46" t="inlineStr">
        <is>
          <t>iledefrance.fr - AAP en cours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  <col width="36" customWidth="1" min="5" max="5"/>
    <col width="16" customWidth="1" min="6" max="6"/>
  </cols>
  <sheetData>
    <row r="1" ht="30" customHeight="1">
      <c r="A1" s="13" t="inlineStr">
        <is>
          <t>SIMULATEURS INTERACTIFS - CHIFFRAGE EXPRESS DES AIDES</t>
        </is>
      </c>
    </row>
    <row r="2">
      <c r="A2" s="14" t="inlineStr">
        <is>
          <t>Modifier UNIQUEMENT les cases JAUNES - les cases vertes se recalculent automatiquement.</t>
        </is>
      </c>
    </row>
    <row r="4" ht="26" customHeight="1">
      <c r="A4" s="89" t="inlineStr">
        <is>
          <t>SIMULATEUR 1 - RELAMPING LED BUREAUX (CEE BAT-EQ-127 + BAT-EQ-133)</t>
        </is>
      </c>
    </row>
    <row r="5" ht="26" customHeight="1">
      <c r="A5" s="90" t="inlineStr">
        <is>
          <t>Nombre de luminaires LED remplaces</t>
        </is>
      </c>
      <c r="B5" s="91" t="n">
        <v>500</v>
      </c>
      <c r="C5" s="92" t="inlineStr">
        <is>
          <t>kWh cumac par luminaire (zone H1, 14h/j)</t>
        </is>
      </c>
      <c r="D5" s="91" t="n">
        <v>8000</v>
      </c>
      <c r="E5" s="92" t="inlineStr">
        <is>
          <t>Cours kWh cumac (EUR/MWh cumac)</t>
        </is>
      </c>
      <c r="F5" s="91" t="n">
        <v>8.5</v>
      </c>
    </row>
    <row r="6" ht="26" customHeight="1">
      <c r="A6" s="90" t="inlineStr">
        <is>
          <t>Cout total HT du chantier (EUR)</t>
        </is>
      </c>
      <c r="B6" s="91" t="n">
        <v>95000</v>
      </c>
      <c r="C6" s="90" t="inlineStr">
        <is>
          <t>Bonification (1 = standard, 2 = coup de pouce)</t>
        </is>
      </c>
      <c r="D6" s="91" t="n">
        <v>1</v>
      </c>
    </row>
    <row r="7" ht="26" customHeight="1">
      <c r="A7" s="90" t="inlineStr">
        <is>
          <t>Prime CEE estimee (EUR HT)</t>
        </is>
      </c>
      <c r="B7" s="93">
        <f>B5*D5*F5*D6/1000</f>
        <v/>
      </c>
      <c r="C7" s="90" t="inlineStr">
        <is>
          <t>% de couverture du chantier</t>
        </is>
      </c>
      <c r="D7" s="94">
        <f>B7/B6</f>
        <v/>
      </c>
    </row>
    <row r="8" ht="26" customHeight="1">
      <c r="A8" s="90" t="inlineStr">
        <is>
          <t>Reste a charge client (EUR HT)</t>
        </is>
      </c>
      <c r="B8" s="93">
        <f>B6-B7</f>
        <v/>
      </c>
      <c r="C8" s="90" t="inlineStr">
        <is>
          <t>ROI (annees) - hypothese 30% econo / an</t>
        </is>
      </c>
      <c r="D8" s="95">
        <f>B8/(B6*0.3)</f>
        <v/>
      </c>
    </row>
    <row r="9"/>
    <row r="10"/>
    <row r="11" ht="26" customHeight="1">
      <c r="A11" s="89" t="inlineStr">
        <is>
          <t>SIMULATEUR 2 - PV AUTOCONSOMMATION (prime S26 + tarif EDF OA)</t>
        </is>
      </c>
    </row>
    <row r="12" ht="26" customHeight="1">
      <c r="A12" s="90" t="inlineStr">
        <is>
          <t>Puissance installee (kWc)</t>
        </is>
      </c>
      <c r="B12" s="91" t="n">
        <v>100</v>
      </c>
      <c r="C12" s="92" t="inlineStr">
        <is>
          <t>Prime EUR / kWc (selon tranche, T2 2026 indicatif)</t>
        </is>
      </c>
      <c r="D12" s="91" t="n">
        <v>100</v>
      </c>
      <c r="E12" s="92" t="inlineStr">
        <is>
          <t>Production annuelle (kWh / kWc)</t>
        </is>
      </c>
      <c r="F12" s="91" t="n">
        <v>1100</v>
      </c>
    </row>
    <row r="13" ht="26" customHeight="1">
      <c r="A13" s="90" t="inlineStr">
        <is>
          <t>Cout total installation HT (EUR)</t>
        </is>
      </c>
      <c r="B13" s="91" t="n">
        <v>110000</v>
      </c>
      <c r="C13" s="90" t="inlineStr">
        <is>
          <t>Part autoconsommee (typique 30-60%)</t>
        </is>
      </c>
      <c r="D13" s="91" t="n">
        <v>0.4</v>
      </c>
      <c r="E13" s="92" t="inlineStr">
        <is>
          <t>Tarif rachat surplus (EUR/kWh)</t>
        </is>
      </c>
      <c r="F13" s="91" t="n">
        <v>0.1297</v>
      </c>
    </row>
    <row r="14" ht="26" customHeight="1">
      <c r="A14" s="90" t="inlineStr">
        <is>
          <t>Prix electricite achetee (EUR/kWh)</t>
        </is>
      </c>
      <c r="B14" s="91" t="n">
        <v>0.21</v>
      </c>
    </row>
    <row r="15" ht="26" customHeight="1">
      <c r="A15" s="90" t="inlineStr">
        <is>
          <t>Prime totale autoconso (verse 5 ans)</t>
        </is>
      </c>
      <c r="B15" s="93">
        <f>B12*D12</f>
        <v/>
      </c>
      <c r="C15" s="90" t="inlineStr">
        <is>
          <t>Production annuelle (kWh)</t>
        </is>
      </c>
      <c r="D15" s="96">
        <f>B12*F12</f>
        <v/>
      </c>
    </row>
    <row r="16" ht="26" customHeight="1">
      <c r="A16" s="90" t="inlineStr">
        <is>
          <t>Revenu rachat surplus / an</t>
        </is>
      </c>
      <c r="B16" s="93">
        <f>D15*(1-D13)*F13</f>
        <v/>
      </c>
      <c r="C16" s="90" t="inlineStr">
        <is>
          <t>Economie autoconso / an</t>
        </is>
      </c>
      <c r="D16" s="93">
        <f>D15*D13*B14</f>
        <v/>
      </c>
    </row>
    <row r="17" ht="26" customHeight="1">
      <c r="A17" s="90" t="inlineStr">
        <is>
          <t>Gain annuel total (revenu + econo)</t>
        </is>
      </c>
      <c r="B17" s="93">
        <f>B16+D16</f>
        <v/>
      </c>
      <c r="C17" s="90" t="inlineStr">
        <is>
          <t>Retour sur investissement (annees)</t>
        </is>
      </c>
      <c r="D17" s="95">
        <f>(B13-B15)/B17</f>
        <v/>
      </c>
    </row>
    <row r="18" ht="26" customHeight="1">
      <c r="A18" s="90" t="inlineStr">
        <is>
          <t>Gain cumule 20 ans (- prime deduite)</t>
        </is>
      </c>
      <c r="B18" s="93">
        <f>B17*20+B15</f>
        <v/>
      </c>
      <c r="C18" s="90" t="inlineStr">
        <is>
          <t>VAN brute 20 ans</t>
        </is>
      </c>
      <c r="D18" s="93">
        <f>B18-B13</f>
        <v/>
      </c>
    </row>
    <row r="19"/>
    <row r="20"/>
    <row r="21" ht="26" customHeight="1">
      <c r="A21" s="89" t="inlineStr">
        <is>
          <t>SIMULATEUR 3 - BORNES IRVE (ADVENIR - parking entreprise)</t>
        </is>
      </c>
    </row>
    <row r="22" ht="26" customHeight="1">
      <c r="A22" s="90" t="inlineStr">
        <is>
          <t>Nombre de points de charge</t>
        </is>
      </c>
      <c r="B22" s="91" t="n">
        <v>10</v>
      </c>
      <c r="C22" s="92" t="inlineStr">
        <is>
          <t>Cout HT par point (installation incluse)</t>
        </is>
      </c>
      <c r="D22" s="91" t="n">
        <v>3500</v>
      </c>
      <c r="E22" s="92" t="inlineStr">
        <is>
          <t>Plafond ADVENIR EUR / point (T2 2026)</t>
        </is>
      </c>
      <c r="F22" s="91" t="n">
        <v>1700</v>
      </c>
    </row>
    <row r="23" ht="26" customHeight="1">
      <c r="A23" s="90" t="inlineStr">
        <is>
          <t>Taux ADVENIR (% du HT)</t>
        </is>
      </c>
      <c r="B23" s="91" t="n">
        <v>0.5</v>
      </c>
    </row>
    <row r="24" ht="26" customHeight="1">
      <c r="A24" s="90" t="inlineStr">
        <is>
          <t>Cout total HT</t>
        </is>
      </c>
      <c r="B24" s="93">
        <f>B22*D22</f>
        <v/>
      </c>
      <c r="C24" s="90" t="inlineStr">
        <is>
          <t>Aide ADVENIR par point</t>
        </is>
      </c>
      <c r="D24" s="93">
        <f>MIN(D22*B23,F22)</f>
        <v/>
      </c>
    </row>
    <row r="25" ht="26" customHeight="1">
      <c r="A25" s="90" t="inlineStr">
        <is>
          <t>Aide ADVENIR totale</t>
        </is>
      </c>
      <c r="B25" s="93">
        <f>B22*D24</f>
        <v/>
      </c>
      <c r="C25" s="90" t="inlineStr">
        <is>
          <t>Reste a charge client HT</t>
        </is>
      </c>
      <c r="D25" s="93">
        <f>B24-B25</f>
        <v/>
      </c>
    </row>
    <row r="26" ht="26" customHeight="1">
      <c r="A26" s="90" t="inlineStr">
        <is>
          <t>% de couverture</t>
        </is>
      </c>
      <c r="B26" s="94">
        <f>B25/B24</f>
        <v/>
      </c>
    </row>
    <row r="27"/>
    <row r="28"/>
    <row r="29" ht="26" customHeight="1">
      <c r="A29" s="89" t="inlineStr">
        <is>
          <t>SIMULATEUR 4 - REMPLACEMENT CHAUDIERE FIOUL PAR PAC COLLECTIVE (copro)</t>
        </is>
      </c>
    </row>
    <row r="30" ht="26" customHeight="1">
      <c r="A30" s="90" t="inlineStr">
        <is>
          <t>Nombre de logements</t>
        </is>
      </c>
      <c r="B30" s="91" t="n">
        <v>50</v>
      </c>
      <c r="C30" s="92" t="inlineStr">
        <is>
          <t>Cout total HT chantier (EUR)</t>
        </is>
      </c>
      <c r="D30" s="91" t="n">
        <v>380000</v>
      </c>
      <c r="E30" s="92" t="inlineStr">
        <is>
          <t>Gain energetique (&gt;= 35% requis MPR)</t>
        </is>
      </c>
      <c r="F30" s="91" t="n">
        <v>0.5</v>
      </c>
    </row>
    <row r="31" ht="26" customHeight="1">
      <c r="A31" s="90" t="inlineStr">
        <is>
          <t>Prime CEE BAT-TH-104 (estimee)</t>
        </is>
      </c>
      <c r="B31" s="91" t="n">
        <v>35000</v>
      </c>
      <c r="C31" s="90" t="inlineStr">
        <is>
          <t>Multiplicateur Coup de pouce sortie fioul</t>
        </is>
      </c>
      <c r="D31" s="91" t="n">
        <v>4</v>
      </c>
    </row>
    <row r="32" ht="26" customHeight="1">
      <c r="A32" s="90" t="inlineStr">
        <is>
          <t>Plafond MPR Copro EUR / logement HT</t>
        </is>
      </c>
      <c r="B32" s="91" t="n">
        <v>25000</v>
      </c>
      <c r="C32" s="90" t="inlineStr">
        <is>
          <t>Taux MPR (selon gain &gt;= 50%)</t>
        </is>
      </c>
      <c r="D32" s="91" t="n">
        <v>0.35</v>
      </c>
    </row>
    <row r="33" ht="26" customHeight="1">
      <c r="A33" s="90" t="inlineStr">
        <is>
          <t>Prime CEE bonifiee</t>
        </is>
      </c>
      <c r="B33" s="93">
        <f>B31*D31</f>
        <v/>
      </c>
      <c r="C33" s="90" t="inlineStr">
        <is>
          <t>Aide MPR Copro estimee</t>
        </is>
      </c>
      <c r="D33" s="93">
        <f>MIN(B30*B32,D30)*D32</f>
        <v/>
      </c>
    </row>
    <row r="34" ht="26" customHeight="1">
      <c r="A34" s="90" t="inlineStr">
        <is>
          <t>Total aides cumulees</t>
        </is>
      </c>
      <c r="B34" s="93">
        <f>B33+D33</f>
        <v/>
      </c>
      <c r="C34" s="90" t="inlineStr">
        <is>
          <t>Reste a charge HT</t>
        </is>
      </c>
      <c r="D34" s="93">
        <f>D30-B34</f>
        <v/>
      </c>
    </row>
    <row r="35" ht="26" customHeight="1">
      <c r="A35" s="90" t="inlineStr">
        <is>
          <t>% couverture</t>
        </is>
      </c>
      <c r="B35" s="94">
        <f>B34/D30</f>
        <v/>
      </c>
      <c r="C35" s="90" t="inlineStr">
        <is>
          <t>Reste par logement (HT)</t>
        </is>
      </c>
      <c r="D35" s="93">
        <f>D34/B30</f>
        <v/>
      </c>
    </row>
    <row r="36"/>
    <row r="37"/>
    <row r="38" ht="26" customHeight="1">
      <c r="A38" s="89" t="inlineStr">
        <is>
          <t>SIMULATEUR 5 - GTB CLASSE A (BAT-TH-116 - decret BACS)</t>
        </is>
      </c>
    </row>
    <row r="39" ht="26" customHeight="1">
      <c r="A39" s="90" t="inlineStr">
        <is>
          <t>Surface chauffee (m2)</t>
        </is>
      </c>
      <c r="B39" s="91" t="n">
        <v>5000</v>
      </c>
      <c r="C39" s="92" t="inlineStr">
        <is>
          <t>Forfait kWh cumac / m2 (classe A bureaux)</t>
        </is>
      </c>
      <c r="D39" s="91" t="n">
        <v>1850</v>
      </c>
      <c r="E39" s="92" t="inlineStr">
        <is>
          <t>Cours kWh cumac (EUR/MWh)</t>
        </is>
      </c>
      <c r="F39" s="91" t="n">
        <v>8.5</v>
      </c>
    </row>
    <row r="40" ht="26" customHeight="1">
      <c r="A40" s="90" t="inlineStr">
        <is>
          <t>Cout total GTB HT (EUR)</t>
        </is>
      </c>
      <c r="B40" s="91" t="n">
        <v>180000</v>
      </c>
    </row>
    <row r="41" ht="26" customHeight="1">
      <c r="A41" s="90" t="inlineStr">
        <is>
          <t>Prime CEE BAT-TH-116 estimee</t>
        </is>
      </c>
      <c r="B41" s="93">
        <f>B39*D39*F39/1000</f>
        <v/>
      </c>
      <c r="C41" s="90" t="inlineStr">
        <is>
          <t>% couverture</t>
        </is>
      </c>
      <c r="D41" s="94">
        <f>B41/B40</f>
        <v/>
      </c>
    </row>
    <row r="42" ht="26" customHeight="1">
      <c r="A42" s="90" t="inlineStr">
        <is>
          <t>Reste a charge HT</t>
        </is>
      </c>
      <c r="B42" s="93">
        <f>B40-B41</f>
        <v/>
      </c>
      <c r="C42" s="90" t="inlineStr">
        <is>
          <t>ROI (hypothese 25% econo conso CVC + eclairage)</t>
        </is>
      </c>
      <c r="D42" s="95">
        <f>B42/(B40*0.25)</f>
        <v/>
      </c>
    </row>
    <row r="45">
      <c r="A45" s="97" t="inlineStr">
        <is>
          <t>LEGENDE</t>
        </is>
      </c>
    </row>
    <row r="46">
      <c r="A46" s="98" t="inlineStr">
        <is>
          <t>CASE JAUNE = parametre a entrer</t>
        </is>
      </c>
      <c r="C46" s="99" t="inlineStr">
        <is>
          <t>CASE VERTE = calcul automatique</t>
        </is>
      </c>
    </row>
    <row r="47">
      <c r="A47" s="14" t="inlineStr">
        <is>
          <t>Avertissement : barèmes indicatifs T2 2026. Verifier les cours CEE (EMMY.atee.fr) et tarifs PV (CRE) avant tout engagement client.</t>
        </is>
      </c>
    </row>
  </sheetData>
  <mergeCells count="8">
    <mergeCell ref="A38:F38"/>
    <mergeCell ref="A2:F2"/>
    <mergeCell ref="A11:F11"/>
    <mergeCell ref="A47:F47"/>
    <mergeCell ref="A1:F1"/>
    <mergeCell ref="A4:F4"/>
    <mergeCell ref="A21:F2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2026-05-16T14:47:22Z</dcterms:created>
  <dcterms:modified xmlns:dcterms="http://purl.org/dc/terms/" xmlns:xsi="http://www.w3.org/2001/XMLSchema-instance" xsi:type="dcterms:W3CDTF">2026-05-16T14:47:22Z</dcterms:modified>
</cp:coreProperties>
</file>